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be8a919e6b48c6/Desktop/"/>
    </mc:Choice>
  </mc:AlternateContent>
  <xr:revisionPtr revIDLastSave="12" documentId="8_{8B8B0CD6-B951-400E-B201-07C2293187DF}" xr6:coauthVersionLast="47" xr6:coauthVersionMax="47" xr10:uidLastSave="{D9711ED2-9F6A-41FE-847F-AFE9B3B4F845}"/>
  <bookViews>
    <workbookView xWindow="-108" yWindow="-108" windowWidth="23256" windowHeight="12456" xr2:uid="{43AEDAF0-10FB-484B-8F86-49B22288FD10}"/>
  </bookViews>
  <sheets>
    <sheet name="Dash" sheetId="1" r:id="rId1"/>
    <sheet name="TABELAS" sheetId="2" state="veryHidden" r:id="rId2"/>
    <sheet name="TABELAS UNIFICADAS" sheetId="3" state="veryHidden" r:id="rId3"/>
  </sheets>
  <definedNames>
    <definedName name="_xlchart.v1.0" hidden="1">TABELAS!$I$1:$M$1</definedName>
    <definedName name="_xlchart.v1.1" hidden="1">TABELAS!$I$2:$M$2</definedName>
    <definedName name="_xlchart.v1.2" hidden="1">TABELAS!$I$1:$M$1</definedName>
    <definedName name="_xlchart.v1.3" hidden="1">TABELAS!$I$2:$M$2</definedName>
    <definedName name="SegmentaçãodeDados_COLABORADORES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  <c r="D8" i="2"/>
  <c r="B8" i="2"/>
  <c r="H3" i="3"/>
  <c r="H4" i="3"/>
  <c r="H5" i="3"/>
  <c r="H6" i="3"/>
  <c r="H7" i="3"/>
  <c r="H2" i="3"/>
  <c r="G3" i="3"/>
  <c r="G4" i="3"/>
  <c r="G5" i="3"/>
  <c r="G6" i="3"/>
  <c r="G7" i="3"/>
  <c r="G2" i="3"/>
  <c r="U7" i="2"/>
  <c r="T7" i="2"/>
  <c r="U6" i="2"/>
  <c r="T6" i="2"/>
  <c r="U5" i="2"/>
  <c r="T5" i="2"/>
  <c r="U4" i="2"/>
  <c r="T4" i="2"/>
  <c r="U3" i="2"/>
  <c r="T3" i="2"/>
  <c r="U2" i="2"/>
  <c r="T2" i="2"/>
</calcChain>
</file>

<file path=xl/sharedStrings.xml><?xml version="1.0" encoding="utf-8"?>
<sst xmlns="http://schemas.openxmlformats.org/spreadsheetml/2006/main" count="77" uniqueCount="34">
  <si>
    <t>SDR</t>
  </si>
  <si>
    <t>Agendamentos</t>
  </si>
  <si>
    <t>Reuniões</t>
  </si>
  <si>
    <t>Consultoria</t>
  </si>
  <si>
    <t>MATHEUS FERRAZ</t>
  </si>
  <si>
    <t>RAYSSA VITÓRIA</t>
  </si>
  <si>
    <t>CAMILY RAQUEL</t>
  </si>
  <si>
    <t>MURILO PIETRO</t>
  </si>
  <si>
    <t>PEDRO RAMOS</t>
  </si>
  <si>
    <t>MELYSSA LICÁ</t>
  </si>
  <si>
    <t>TOTAL</t>
  </si>
  <si>
    <t>TELEFONE INVALIDO</t>
  </si>
  <si>
    <t>SEM INTERESSE</t>
  </si>
  <si>
    <t>MUDO</t>
  </si>
  <si>
    <t>SEM CONTATO</t>
  </si>
  <si>
    <t>SOLICITOU RETORNO</t>
  </si>
  <si>
    <t>NOME</t>
  </si>
  <si>
    <t>TEMPO LOGADO</t>
  </si>
  <si>
    <t>ATENDIMENTOS</t>
  </si>
  <si>
    <t>CAMILLY RAQUEL</t>
  </si>
  <si>
    <t>MELLYSA LICÁ</t>
  </si>
  <si>
    <t>NOME1</t>
  </si>
  <si>
    <t>TEMPO LOGADO1</t>
  </si>
  <si>
    <t>ATENDIMENTOS1</t>
  </si>
  <si>
    <t>COLABORADORES</t>
  </si>
  <si>
    <t>Rótulos de Linha</t>
  </si>
  <si>
    <t>Total Geral</t>
  </si>
  <si>
    <t xml:space="preserve"> Agendamentos</t>
  </si>
  <si>
    <t xml:space="preserve"> Reuniões</t>
  </si>
  <si>
    <t xml:space="preserve"> Consultoria</t>
  </si>
  <si>
    <t>Atendimento por dia</t>
  </si>
  <si>
    <t>Atendimentos por mês</t>
  </si>
  <si>
    <t>Soma de Atendimento por dia</t>
  </si>
  <si>
    <t>Soma de Atendimentos por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</si>
</sst>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hh]:mm:ss"/>
  </numFmts>
  <fonts count="8">
    <font>
      <sz val="11"/>
      <color theme="1"/>
      <name val="Calibri"/>
      <family val="2"/>
      <scheme val="minor"/>
    </font>
    <font>
      <b/>
      <sz val="11"/>
      <color rgb="FFFFFFFF"/>
      <name val="Aptos Narrow"/>
    </font>
    <font>
      <b/>
      <sz val="12"/>
      <color rgb="FFFFFFFF"/>
      <name val="Aptos Narrow"/>
    </font>
    <font>
      <b/>
      <sz val="12"/>
      <color rgb="FF000000"/>
      <name val="&quot;Aptos Narrow&quot;"/>
    </font>
    <font>
      <sz val="11"/>
      <color rgb="FF9C0006"/>
      <name val="&quot;Aptos Narrow&quot;"/>
    </font>
    <font>
      <b/>
      <sz val="10"/>
      <color rgb="FFFFFFFF"/>
      <name val="Calibri"/>
      <scheme val="minor"/>
    </font>
    <font>
      <b/>
      <sz val="10"/>
      <color rgb="FFFFFFFF"/>
      <name val="Arial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145F82"/>
        <bgColor rgb="FF145F82"/>
      </patternFill>
    </fill>
    <fill>
      <patternFill patternType="solid">
        <fgColor rgb="FFDAE9F8"/>
        <bgColor rgb="FFDAE9F8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21" fontId="6" fillId="3" borderId="1" xfId="0" applyNumberFormat="1" applyFont="1" applyFill="1" applyBorder="1" applyAlignment="1">
      <alignment horizontal="center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164" fontId="7" fillId="0" borderId="1" xfId="0" applyNumberFormat="1" applyFont="1" applyBorder="1"/>
    <xf numFmtId="49" fontId="6" fillId="3" borderId="1" xfId="0" applyNumberFormat="1" applyFont="1" applyFill="1" applyBorder="1" applyAlignment="1">
      <alignment horizontal="center"/>
    </xf>
    <xf numFmtId="1" fontId="7" fillId="0" borderId="1" xfId="0" applyNumberFormat="1" applyFont="1" applyBorder="1"/>
    <xf numFmtId="0" fontId="3" fillId="4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center"/>
    </xf>
    <xf numFmtId="164" fontId="7" fillId="0" borderId="2" xfId="0" applyNumberFormat="1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1" fontId="7" fillId="0" borderId="2" xfId="0" applyNumberFormat="1" applyFont="1" applyBorder="1"/>
    <xf numFmtId="0" fontId="0" fillId="7" borderId="3" xfId="0" applyFill="1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font>
        <color theme="0"/>
      </font>
      <fill>
        <patternFill>
          <bgColor rgb="FF262B2F"/>
        </patternFill>
      </fill>
    </dxf>
  </dxfs>
  <tableStyles count="1" defaultTableStyle="TableStyleMedium2" defaultPivotStyle="PivotStyleLight16">
    <tableStyle name="Estilo de Segmentação de Dados 1" pivot="0" table="0" count="2" xr9:uid="{9198229E-4566-4B76-AB61-F676E71A225B}">
      <tableStyleElement type="wholeTable" dxfId="0"/>
    </tableStyle>
  </tableStyles>
  <colors>
    <mruColors>
      <color rgb="FF262B2F"/>
      <color rgb="FF1A1F24"/>
      <color rgb="FF4472C4"/>
      <color rgb="FF001F62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rgb="FF0070C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[SDR - NOVEMBRO - Henrique.xlsx]TABELAS UNIFICADAS!Tabela dinâmica11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'TABELAS UNIFICADAS'!$B$15</c:f>
              <c:strCache>
                <c:ptCount val="1"/>
                <c:pt idx="0">
                  <c:v> Agendamentos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UNIFICADAS'!$A$16:$A$22</c:f>
              <c:strCache>
                <c:ptCount val="6"/>
                <c:pt idx="0">
                  <c:v>CAMILY RAQUEL</c:v>
                </c:pt>
                <c:pt idx="1">
                  <c:v>MATHEUS FERRAZ</c:v>
                </c:pt>
                <c:pt idx="2">
                  <c:v>MELYSSA LICÁ</c:v>
                </c:pt>
                <c:pt idx="3">
                  <c:v>MURILO PIETRO</c:v>
                </c:pt>
                <c:pt idx="4">
                  <c:v>PEDRO RAMOS</c:v>
                </c:pt>
                <c:pt idx="5">
                  <c:v>RAYSSA VITÓRIA</c:v>
                </c:pt>
              </c:strCache>
            </c:strRef>
          </c:cat>
          <c:val>
            <c:numRef>
              <c:f>'TABELAS UNIFICADAS'!$B$16:$B$22</c:f>
              <c:numCache>
                <c:formatCode>General</c:formatCode>
                <c:ptCount val="6"/>
                <c:pt idx="0">
                  <c:v>14</c:v>
                </c:pt>
                <c:pt idx="1">
                  <c:v>17</c:v>
                </c:pt>
                <c:pt idx="2">
                  <c:v>21</c:v>
                </c:pt>
                <c:pt idx="3">
                  <c:v>12</c:v>
                </c:pt>
                <c:pt idx="4">
                  <c:v>22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1-4FA9-9B51-EB80DA3E230C}"/>
            </c:ext>
          </c:extLst>
        </c:ser>
        <c:ser>
          <c:idx val="1"/>
          <c:order val="1"/>
          <c:tx>
            <c:strRef>
              <c:f>'TABELAS UNIFICADAS'!$C$15</c:f>
              <c:strCache>
                <c:ptCount val="1"/>
                <c:pt idx="0">
                  <c:v> Reuniões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UNIFICADAS'!$A$16:$A$22</c:f>
              <c:strCache>
                <c:ptCount val="6"/>
                <c:pt idx="0">
                  <c:v>CAMILY RAQUEL</c:v>
                </c:pt>
                <c:pt idx="1">
                  <c:v>MATHEUS FERRAZ</c:v>
                </c:pt>
                <c:pt idx="2">
                  <c:v>MELYSSA LICÁ</c:v>
                </c:pt>
                <c:pt idx="3">
                  <c:v>MURILO PIETRO</c:v>
                </c:pt>
                <c:pt idx="4">
                  <c:v>PEDRO RAMOS</c:v>
                </c:pt>
                <c:pt idx="5">
                  <c:v>RAYSSA VITÓRIA</c:v>
                </c:pt>
              </c:strCache>
            </c:strRef>
          </c:cat>
          <c:val>
            <c:numRef>
              <c:f>'TABELAS UNIFICADAS'!$C$16:$C$22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1</c:v>
                </c:pt>
                <c:pt idx="3">
                  <c:v>9</c:v>
                </c:pt>
                <c:pt idx="4">
                  <c:v>3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91-4FA9-9B51-EB80DA3E230C}"/>
            </c:ext>
          </c:extLst>
        </c:ser>
        <c:ser>
          <c:idx val="2"/>
          <c:order val="2"/>
          <c:tx>
            <c:strRef>
              <c:f>'TABELAS UNIFICADAS'!$D$15</c:f>
              <c:strCache>
                <c:ptCount val="1"/>
                <c:pt idx="0">
                  <c:v> Consultoria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UNIFICADAS'!$A$16:$A$22</c:f>
              <c:strCache>
                <c:ptCount val="6"/>
                <c:pt idx="0">
                  <c:v>CAMILY RAQUEL</c:v>
                </c:pt>
                <c:pt idx="1">
                  <c:v>MATHEUS FERRAZ</c:v>
                </c:pt>
                <c:pt idx="2">
                  <c:v>MELYSSA LICÁ</c:v>
                </c:pt>
                <c:pt idx="3">
                  <c:v>MURILO PIETRO</c:v>
                </c:pt>
                <c:pt idx="4">
                  <c:v>PEDRO RAMOS</c:v>
                </c:pt>
                <c:pt idx="5">
                  <c:v>RAYSSA VITÓRIA</c:v>
                </c:pt>
              </c:strCache>
            </c:strRef>
          </c:cat>
          <c:val>
            <c:numRef>
              <c:f>'TABELAS UNIFICADAS'!$D$16:$D$22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91-4FA9-9B51-EB80DA3E230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13612975"/>
        <c:axId val="113613455"/>
      </c:barChart>
      <c:catAx>
        <c:axId val="11361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613455"/>
        <c:crosses val="autoZero"/>
        <c:auto val="1"/>
        <c:lblAlgn val="ctr"/>
        <c:lblOffset val="100"/>
        <c:noMultiLvlLbl val="0"/>
      </c:catAx>
      <c:valAx>
        <c:axId val="1136134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361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alpha val="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[SDR - NOVEMBRO - Henrique.xlsx]TABELAS UNIFICADAS!Tabela dinâmica12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UNIFICADAS'!$M$15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UNIFICADAS'!$L$16:$L$22</c:f>
              <c:strCache>
                <c:ptCount val="6"/>
                <c:pt idx="0">
                  <c:v>RAYSSA VITÓRIA</c:v>
                </c:pt>
                <c:pt idx="1">
                  <c:v>MATHEUS FERRAZ</c:v>
                </c:pt>
                <c:pt idx="2">
                  <c:v>MELYSSA LICÁ</c:v>
                </c:pt>
                <c:pt idx="3">
                  <c:v>MURILO PIETRO</c:v>
                </c:pt>
                <c:pt idx="4">
                  <c:v>CAMILY RAQUEL</c:v>
                </c:pt>
                <c:pt idx="5">
                  <c:v>PEDRO RAMOS</c:v>
                </c:pt>
              </c:strCache>
            </c:strRef>
          </c:cat>
          <c:val>
            <c:numRef>
              <c:f>'TABELAS UNIFICADAS'!$M$16:$M$22</c:f>
              <c:numCache>
                <c:formatCode>0</c:formatCode>
                <c:ptCount val="6"/>
                <c:pt idx="0">
                  <c:v>250.33333333333334</c:v>
                </c:pt>
                <c:pt idx="1">
                  <c:v>201.66666666666666</c:v>
                </c:pt>
                <c:pt idx="2">
                  <c:v>182.33333333333334</c:v>
                </c:pt>
                <c:pt idx="3">
                  <c:v>120.83333333333333</c:v>
                </c:pt>
                <c:pt idx="4">
                  <c:v>114.33333333333333</c:v>
                </c:pt>
                <c:pt idx="5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D-440C-8BB2-636015CB4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91919"/>
        <c:axId val="103792399"/>
      </c:barChart>
      <c:catAx>
        <c:axId val="1037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792399"/>
        <c:crosses val="autoZero"/>
        <c:auto val="1"/>
        <c:lblAlgn val="ctr"/>
        <c:lblOffset val="100"/>
        <c:noMultiLvlLbl val="0"/>
      </c:catAx>
      <c:valAx>
        <c:axId val="103792399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0379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alpha val="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[SDR - NOVEMBRO - Henrique.xlsx]TABELAS UNIFICADAS!Tabela dinâmica13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UNIFICADAS'!$V$15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UNIFICADAS'!$U$16:$U$22</c:f>
              <c:strCache>
                <c:ptCount val="6"/>
                <c:pt idx="0">
                  <c:v>RAYSSA VITÓRIA</c:v>
                </c:pt>
                <c:pt idx="1">
                  <c:v>MATHEUS FERRAZ</c:v>
                </c:pt>
                <c:pt idx="2">
                  <c:v>MELYSSA LICÁ</c:v>
                </c:pt>
                <c:pt idx="3">
                  <c:v>MURILO PIETRO</c:v>
                </c:pt>
                <c:pt idx="4">
                  <c:v>CAMILY RAQUEL</c:v>
                </c:pt>
                <c:pt idx="5">
                  <c:v>PEDRO RAMOS</c:v>
                </c:pt>
              </c:strCache>
            </c:strRef>
          </c:cat>
          <c:val>
            <c:numRef>
              <c:f>'TABELAS UNIFICADAS'!$V$16:$V$22</c:f>
              <c:numCache>
                <c:formatCode>General</c:formatCode>
                <c:ptCount val="6"/>
                <c:pt idx="0">
                  <c:v>1502</c:v>
                </c:pt>
                <c:pt idx="1">
                  <c:v>1210</c:v>
                </c:pt>
                <c:pt idx="2">
                  <c:v>1094</c:v>
                </c:pt>
                <c:pt idx="3">
                  <c:v>725</c:v>
                </c:pt>
                <c:pt idx="4">
                  <c:v>686</c:v>
                </c:pt>
                <c:pt idx="5">
                  <c:v>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6-44F6-A65E-55A758FC8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0"/>
        <c:overlap val="-24"/>
        <c:axId val="51682719"/>
        <c:axId val="51682239"/>
      </c:barChart>
      <c:catAx>
        <c:axId val="5168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682239"/>
        <c:crosses val="autoZero"/>
        <c:auto val="1"/>
        <c:lblAlgn val="ctr"/>
        <c:lblOffset val="100"/>
        <c:noMultiLvlLbl val="0"/>
      </c:catAx>
      <c:valAx>
        <c:axId val="516822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68271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alpha val="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169335083114614"/>
          <c:y val="8.346020761245676E-2"/>
          <c:w val="0.72319553805774284"/>
          <c:h val="0.809512028989455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TABELAS!$T$1</c:f>
              <c:strCache>
                <c:ptCount val="1"/>
                <c:pt idx="0">
                  <c:v>TEMPO LOGADO1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TABELAS!$S$2:$S$7</c:f>
              <c:strCache>
                <c:ptCount val="6"/>
                <c:pt idx="0">
                  <c:v>MATHEUS FERRAZ</c:v>
                </c:pt>
                <c:pt idx="1">
                  <c:v>CAMILLY RAQUEL</c:v>
                </c:pt>
                <c:pt idx="2">
                  <c:v>RAYSSA VITÓRIA</c:v>
                </c:pt>
                <c:pt idx="3">
                  <c:v>PEDRO RAMOS</c:v>
                </c:pt>
                <c:pt idx="4">
                  <c:v>MURILO PIETRO</c:v>
                </c:pt>
                <c:pt idx="5">
                  <c:v>MELLYSA LICÁ</c:v>
                </c:pt>
              </c:strCache>
            </c:strRef>
          </c:cat>
          <c:val>
            <c:numRef>
              <c:f>TABELAS!$T$2:$T$7</c:f>
              <c:numCache>
                <c:formatCode>[hh]:mm:ss</c:formatCode>
                <c:ptCount val="6"/>
                <c:pt idx="0">
                  <c:v>0.27452546296296293</c:v>
                </c:pt>
                <c:pt idx="1">
                  <c:v>0.28076003086419754</c:v>
                </c:pt>
                <c:pt idx="2">
                  <c:v>0.28054205246913583</c:v>
                </c:pt>
                <c:pt idx="3">
                  <c:v>0.30176311728395061</c:v>
                </c:pt>
                <c:pt idx="4">
                  <c:v>0.19495370370370371</c:v>
                </c:pt>
                <c:pt idx="5">
                  <c:v>0.27173225308641974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6-4270-A1FD-6309070D8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5401503"/>
        <c:axId val="53255327"/>
      </c:barChart>
      <c:catAx>
        <c:axId val="207540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53255327"/>
        <c:crosses val="autoZero"/>
        <c:auto val="1"/>
        <c:lblAlgn val="ctr"/>
        <c:lblOffset val="100"/>
        <c:noMultiLvlLbl val="0"/>
      </c:catAx>
      <c:valAx>
        <c:axId val="5325532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h]:mm:ss" sourceLinked="1"/>
        <c:majorTickMark val="none"/>
        <c:minorTickMark val="none"/>
        <c:tickLblPos val="nextTo"/>
        <c:crossAx val="207540150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bg1">
          <a:alpha val="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TABELAS!$P$1</c:f>
              <c:strCache>
                <c:ptCount val="1"/>
                <c:pt idx="0">
                  <c:v>TEMPO LOGADO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TABELAS!$O$2:$O$7</c:f>
              <c:strCache>
                <c:ptCount val="6"/>
                <c:pt idx="0">
                  <c:v>MATHEUS FERRAZ</c:v>
                </c:pt>
                <c:pt idx="1">
                  <c:v>CAMILLY RAQUEL</c:v>
                </c:pt>
                <c:pt idx="2">
                  <c:v>RAYSSA VITÓRIA</c:v>
                </c:pt>
                <c:pt idx="3">
                  <c:v>PEDRO RAMOS</c:v>
                </c:pt>
                <c:pt idx="4">
                  <c:v>MURILO PIETRO</c:v>
                </c:pt>
                <c:pt idx="5">
                  <c:v>MELLYSA LICÁ</c:v>
                </c:pt>
              </c:strCache>
            </c:strRef>
          </c:cat>
          <c:val>
            <c:numRef>
              <c:f>TABELAS!$P$2:$P$7</c:f>
              <c:numCache>
                <c:formatCode>[hh]:mm:ss</c:formatCode>
                <c:ptCount val="6"/>
                <c:pt idx="0">
                  <c:v>1.6471527777777777</c:v>
                </c:pt>
                <c:pt idx="1">
                  <c:v>1.6845601851851852</c:v>
                </c:pt>
                <c:pt idx="2">
                  <c:v>1.6832523148148149</c:v>
                </c:pt>
                <c:pt idx="3">
                  <c:v>1.8105787037037038</c:v>
                </c:pt>
                <c:pt idx="4">
                  <c:v>1.1697222222222223</c:v>
                </c:pt>
                <c:pt idx="5">
                  <c:v>1.6303935185185185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2-4C3F-8E05-D54B53C72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9422543"/>
        <c:axId val="1599423023"/>
      </c:barChart>
      <c:catAx>
        <c:axId val="1599422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99423023"/>
        <c:crosses val="autoZero"/>
        <c:auto val="1"/>
        <c:lblAlgn val="ctr"/>
        <c:lblOffset val="100"/>
        <c:noMultiLvlLbl val="0"/>
      </c:catAx>
      <c:valAx>
        <c:axId val="159942302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h]:mm:ss" sourceLinked="1"/>
        <c:majorTickMark val="none"/>
        <c:minorTickMark val="none"/>
        <c:tickLblPos val="nextTo"/>
        <c:crossAx val="159942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bg1">
          <a:alpha val="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TABELAS!$P$1</c:f>
              <c:strCache>
                <c:ptCount val="1"/>
                <c:pt idx="0">
                  <c:v>TEMPO LOGADO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TABELAS!$O$2:$O$7</c:f>
              <c:strCache>
                <c:ptCount val="6"/>
                <c:pt idx="0">
                  <c:v>MATHEUS FERRAZ</c:v>
                </c:pt>
                <c:pt idx="1">
                  <c:v>CAMILLY RAQUEL</c:v>
                </c:pt>
                <c:pt idx="2">
                  <c:v>RAYSSA VITÓRIA</c:v>
                </c:pt>
                <c:pt idx="3">
                  <c:v>PEDRO RAMOS</c:v>
                </c:pt>
                <c:pt idx="4">
                  <c:v>MURILO PIETRO</c:v>
                </c:pt>
                <c:pt idx="5">
                  <c:v>MELLYSA LICÁ</c:v>
                </c:pt>
              </c:strCache>
            </c:strRef>
          </c:cat>
          <c:val>
            <c:numRef>
              <c:f>TABELAS!$P$2:$P$7</c:f>
              <c:numCache>
                <c:formatCode>[hh]:mm:ss</c:formatCode>
                <c:ptCount val="6"/>
                <c:pt idx="0">
                  <c:v>1.6471527777777777</c:v>
                </c:pt>
                <c:pt idx="1">
                  <c:v>1.6845601851851852</c:v>
                </c:pt>
                <c:pt idx="2">
                  <c:v>1.6832523148148149</c:v>
                </c:pt>
                <c:pt idx="3">
                  <c:v>1.8105787037037038</c:v>
                </c:pt>
                <c:pt idx="4">
                  <c:v>1.1697222222222223</c:v>
                </c:pt>
                <c:pt idx="5">
                  <c:v>1.6303935185185185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9-4CA4-9322-CC626CD25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9422543"/>
        <c:axId val="1599423023"/>
      </c:barChart>
      <c:catAx>
        <c:axId val="1599422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9423023"/>
        <c:crosses val="autoZero"/>
        <c:auto val="1"/>
        <c:lblAlgn val="ctr"/>
        <c:lblOffset val="100"/>
        <c:noMultiLvlLbl val="0"/>
      </c:catAx>
      <c:valAx>
        <c:axId val="159942302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h]:mm:ss" sourceLinked="1"/>
        <c:majorTickMark val="none"/>
        <c:minorTickMark val="none"/>
        <c:tickLblPos val="nextTo"/>
        <c:crossAx val="159942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169335083114614"/>
          <c:y val="8.346020761245676E-2"/>
          <c:w val="0.72319553805774284"/>
          <c:h val="0.809512028989455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TABELAS!$T$1</c:f>
              <c:strCache>
                <c:ptCount val="1"/>
                <c:pt idx="0">
                  <c:v>TEMPO LOGADO1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TABELAS!$S$2:$S$7</c:f>
              <c:strCache>
                <c:ptCount val="6"/>
                <c:pt idx="0">
                  <c:v>MATHEUS FERRAZ</c:v>
                </c:pt>
                <c:pt idx="1">
                  <c:v>CAMILLY RAQUEL</c:v>
                </c:pt>
                <c:pt idx="2">
                  <c:v>RAYSSA VITÓRIA</c:v>
                </c:pt>
                <c:pt idx="3">
                  <c:v>PEDRO RAMOS</c:v>
                </c:pt>
                <c:pt idx="4">
                  <c:v>MURILO PIETRO</c:v>
                </c:pt>
                <c:pt idx="5">
                  <c:v>MELLYSA LICÁ</c:v>
                </c:pt>
              </c:strCache>
            </c:strRef>
          </c:cat>
          <c:val>
            <c:numRef>
              <c:f>TABELAS!$T$2:$T$7</c:f>
              <c:numCache>
                <c:formatCode>[hh]:mm:ss</c:formatCode>
                <c:ptCount val="6"/>
                <c:pt idx="0">
                  <c:v>0.27452546296296293</c:v>
                </c:pt>
                <c:pt idx="1">
                  <c:v>0.28076003086419754</c:v>
                </c:pt>
                <c:pt idx="2">
                  <c:v>0.28054205246913583</c:v>
                </c:pt>
                <c:pt idx="3">
                  <c:v>0.30176311728395061</c:v>
                </c:pt>
                <c:pt idx="4">
                  <c:v>0.19495370370370371</c:v>
                </c:pt>
                <c:pt idx="5">
                  <c:v>0.27173225308641974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2-4611-AC7A-D4ECD8A47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5401503"/>
        <c:axId val="53255327"/>
      </c:barChart>
      <c:catAx>
        <c:axId val="207540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255327"/>
        <c:crosses val="autoZero"/>
        <c:auto val="1"/>
        <c:lblAlgn val="ctr"/>
        <c:lblOffset val="100"/>
        <c:noMultiLvlLbl val="0"/>
      </c:catAx>
      <c:valAx>
        <c:axId val="5325532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h]:mm:ss" sourceLinked="1"/>
        <c:majorTickMark val="none"/>
        <c:minorTickMark val="none"/>
        <c:tickLblPos val="nextTo"/>
        <c:crossAx val="20754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[SDR - NOVEMBRO - Henrique.xlsx]TABELAS UNIFICADAS!Tabela dinâmica11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'TABELAS UNIFICADAS'!$B$15</c:f>
              <c:strCache>
                <c:ptCount val="1"/>
                <c:pt idx="0">
                  <c:v> Agendamentos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UNIFICADAS'!$A$16:$A$22</c:f>
              <c:strCache>
                <c:ptCount val="6"/>
                <c:pt idx="0">
                  <c:v>CAMILY RAQUEL</c:v>
                </c:pt>
                <c:pt idx="1">
                  <c:v>MATHEUS FERRAZ</c:v>
                </c:pt>
                <c:pt idx="2">
                  <c:v>MELYSSA LICÁ</c:v>
                </c:pt>
                <c:pt idx="3">
                  <c:v>MURILO PIETRO</c:v>
                </c:pt>
                <c:pt idx="4">
                  <c:v>PEDRO RAMOS</c:v>
                </c:pt>
                <c:pt idx="5">
                  <c:v>RAYSSA VITÓRIA</c:v>
                </c:pt>
              </c:strCache>
            </c:strRef>
          </c:cat>
          <c:val>
            <c:numRef>
              <c:f>'TABELAS UNIFICADAS'!$B$16:$B$22</c:f>
              <c:numCache>
                <c:formatCode>General</c:formatCode>
                <c:ptCount val="6"/>
                <c:pt idx="0">
                  <c:v>14</c:v>
                </c:pt>
                <c:pt idx="1">
                  <c:v>17</c:v>
                </c:pt>
                <c:pt idx="2">
                  <c:v>21</c:v>
                </c:pt>
                <c:pt idx="3">
                  <c:v>12</c:v>
                </c:pt>
                <c:pt idx="4">
                  <c:v>22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A-42A2-9E0D-2E104D9960B3}"/>
            </c:ext>
          </c:extLst>
        </c:ser>
        <c:ser>
          <c:idx val="1"/>
          <c:order val="1"/>
          <c:tx>
            <c:strRef>
              <c:f>'TABELAS UNIFICADAS'!$C$15</c:f>
              <c:strCache>
                <c:ptCount val="1"/>
                <c:pt idx="0">
                  <c:v> Reuniões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UNIFICADAS'!$A$16:$A$22</c:f>
              <c:strCache>
                <c:ptCount val="6"/>
                <c:pt idx="0">
                  <c:v>CAMILY RAQUEL</c:v>
                </c:pt>
                <c:pt idx="1">
                  <c:v>MATHEUS FERRAZ</c:v>
                </c:pt>
                <c:pt idx="2">
                  <c:v>MELYSSA LICÁ</c:v>
                </c:pt>
                <c:pt idx="3">
                  <c:v>MURILO PIETRO</c:v>
                </c:pt>
                <c:pt idx="4">
                  <c:v>PEDRO RAMOS</c:v>
                </c:pt>
                <c:pt idx="5">
                  <c:v>RAYSSA VITÓRIA</c:v>
                </c:pt>
              </c:strCache>
            </c:strRef>
          </c:cat>
          <c:val>
            <c:numRef>
              <c:f>'TABELAS UNIFICADAS'!$C$16:$C$22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1</c:v>
                </c:pt>
                <c:pt idx="3">
                  <c:v>9</c:v>
                </c:pt>
                <c:pt idx="4">
                  <c:v>3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4A-42A2-9E0D-2E104D9960B3}"/>
            </c:ext>
          </c:extLst>
        </c:ser>
        <c:ser>
          <c:idx val="2"/>
          <c:order val="2"/>
          <c:tx>
            <c:strRef>
              <c:f>'TABELAS UNIFICADAS'!$D$15</c:f>
              <c:strCache>
                <c:ptCount val="1"/>
                <c:pt idx="0">
                  <c:v> Consultoria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UNIFICADAS'!$A$16:$A$22</c:f>
              <c:strCache>
                <c:ptCount val="6"/>
                <c:pt idx="0">
                  <c:v>CAMILY RAQUEL</c:v>
                </c:pt>
                <c:pt idx="1">
                  <c:v>MATHEUS FERRAZ</c:v>
                </c:pt>
                <c:pt idx="2">
                  <c:v>MELYSSA LICÁ</c:v>
                </c:pt>
                <c:pt idx="3">
                  <c:v>MURILO PIETRO</c:v>
                </c:pt>
                <c:pt idx="4">
                  <c:v>PEDRO RAMOS</c:v>
                </c:pt>
                <c:pt idx="5">
                  <c:v>RAYSSA VITÓRIA</c:v>
                </c:pt>
              </c:strCache>
            </c:strRef>
          </c:cat>
          <c:val>
            <c:numRef>
              <c:f>'TABELAS UNIFICADAS'!$D$16:$D$22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A-42A2-9E0D-2E104D9960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13612975"/>
        <c:axId val="113613455"/>
      </c:barChart>
      <c:catAx>
        <c:axId val="11361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613455"/>
        <c:crosses val="autoZero"/>
        <c:auto val="1"/>
        <c:lblAlgn val="ctr"/>
        <c:lblOffset val="100"/>
        <c:noMultiLvlLbl val="0"/>
      </c:catAx>
      <c:valAx>
        <c:axId val="1136134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361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[SDR - NOVEMBRO - Henrique.xlsx]TABELAS UNIFICADAS!Tabela dinâmica12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UNIFICADAS'!$M$15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UNIFICADAS'!$L$16:$L$22</c:f>
              <c:strCache>
                <c:ptCount val="6"/>
                <c:pt idx="0">
                  <c:v>RAYSSA VITÓRIA</c:v>
                </c:pt>
                <c:pt idx="1">
                  <c:v>MATHEUS FERRAZ</c:v>
                </c:pt>
                <c:pt idx="2">
                  <c:v>MELYSSA LICÁ</c:v>
                </c:pt>
                <c:pt idx="3">
                  <c:v>MURILO PIETRO</c:v>
                </c:pt>
                <c:pt idx="4">
                  <c:v>CAMILY RAQUEL</c:v>
                </c:pt>
                <c:pt idx="5">
                  <c:v>PEDRO RAMOS</c:v>
                </c:pt>
              </c:strCache>
            </c:strRef>
          </c:cat>
          <c:val>
            <c:numRef>
              <c:f>'TABELAS UNIFICADAS'!$M$16:$M$22</c:f>
              <c:numCache>
                <c:formatCode>0</c:formatCode>
                <c:ptCount val="6"/>
                <c:pt idx="0">
                  <c:v>250.33333333333334</c:v>
                </c:pt>
                <c:pt idx="1">
                  <c:v>201.66666666666666</c:v>
                </c:pt>
                <c:pt idx="2">
                  <c:v>182.33333333333334</c:v>
                </c:pt>
                <c:pt idx="3">
                  <c:v>120.83333333333333</c:v>
                </c:pt>
                <c:pt idx="4">
                  <c:v>114.33333333333333</c:v>
                </c:pt>
                <c:pt idx="5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0-4470-8F0A-51EE13410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91919"/>
        <c:axId val="103792399"/>
      </c:barChart>
      <c:catAx>
        <c:axId val="1037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792399"/>
        <c:crosses val="autoZero"/>
        <c:auto val="1"/>
        <c:lblAlgn val="ctr"/>
        <c:lblOffset val="100"/>
        <c:noMultiLvlLbl val="0"/>
      </c:catAx>
      <c:valAx>
        <c:axId val="103792399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037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[SDR - NOVEMBRO - Henrique.xlsx]TABELAS UNIFICADAS!Tabela dinâmica13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UNIFICADAS'!$V$15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UNIFICADAS'!$U$16:$U$22</c:f>
              <c:strCache>
                <c:ptCount val="6"/>
                <c:pt idx="0">
                  <c:v>RAYSSA VITÓRIA</c:v>
                </c:pt>
                <c:pt idx="1">
                  <c:v>MATHEUS FERRAZ</c:v>
                </c:pt>
                <c:pt idx="2">
                  <c:v>MELYSSA LICÁ</c:v>
                </c:pt>
                <c:pt idx="3">
                  <c:v>MURILO PIETRO</c:v>
                </c:pt>
                <c:pt idx="4">
                  <c:v>CAMILY RAQUEL</c:v>
                </c:pt>
                <c:pt idx="5">
                  <c:v>PEDRO RAMOS</c:v>
                </c:pt>
              </c:strCache>
            </c:strRef>
          </c:cat>
          <c:val>
            <c:numRef>
              <c:f>'TABELAS UNIFICADAS'!$V$16:$V$22</c:f>
              <c:numCache>
                <c:formatCode>General</c:formatCode>
                <c:ptCount val="6"/>
                <c:pt idx="0">
                  <c:v>1502</c:v>
                </c:pt>
                <c:pt idx="1">
                  <c:v>1210</c:v>
                </c:pt>
                <c:pt idx="2">
                  <c:v>1094</c:v>
                </c:pt>
                <c:pt idx="3">
                  <c:v>725</c:v>
                </c:pt>
                <c:pt idx="4">
                  <c:v>686</c:v>
                </c:pt>
                <c:pt idx="5">
                  <c:v>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C-4C4C-9FCF-A762E0FC3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82719"/>
        <c:axId val="51682239"/>
      </c:barChart>
      <c:catAx>
        <c:axId val="5168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682239"/>
        <c:crosses val="autoZero"/>
        <c:auto val="1"/>
        <c:lblAlgn val="ctr"/>
        <c:lblOffset val="100"/>
        <c:noMultiLvlLbl val="0"/>
      </c:catAx>
      <c:valAx>
        <c:axId val="516822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68271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val">
        <cx:f dir="row">_xlchart.v1.1</cx:f>
      </cx:numDim>
    </cx:data>
  </cx:chartData>
  <cx:chart>
    <cx:title pos="t" align="ctr" overlay="0">
      <cx:tx>
        <cx:txData>
          <cx:v/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chemeClr val="bg1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pt-BR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title>
    <cx:plotArea>
      <cx:plotAreaRegion>
        <cx:series layoutId="clusteredColumn" uniqueId="{7E323E01-748C-4DFC-89C3-4202EBAC8C1A}">
          <cx:dataId val="0"/>
          <cx:layoutPr>
            <cx:aggregation/>
          </cx:layoutPr>
          <cx:axisId val="1"/>
        </cx:series>
        <cx:series layoutId="paretoLine" ownerIdx="0" uniqueId="{BC90F881-1FD1-4265-8FD6-7C9EED7FCAE6}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1">
                    <a:lumMod val="75000"/>
                  </a:scheme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pt-BR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pt-BR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2">
        <cx:valScaling max="1" min="0"/>
        <cx:units unit="percentage"/>
        <cx:tickLabels/>
        <cx:spPr>
          <a:ln>
            <a:solidFill>
              <a:sysClr val="windowText" lastClr="000000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pt-BR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  <cx:spPr>
    <a:noFill/>
    <a:ln>
      <a:solidFill>
        <a:schemeClr val="bg1">
          <a:alpha val="0"/>
        </a:schemeClr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</cx:f>
      </cx:strDim>
      <cx:numDim type="val">
        <cx:f dir="row">_xlchart.v1.3</cx:f>
      </cx:numDim>
    </cx:data>
  </cx:chartData>
  <cx:chart>
    <cx:title pos="t" align="ctr" overlay="0"/>
    <cx:plotArea>
      <cx:plotAreaRegion>
        <cx:series layoutId="clusteredColumn" uniqueId="{7E323E01-748C-4DFC-89C3-4202EBAC8C1A}">
          <cx:dataId val="0"/>
          <cx:layoutPr>
            <cx:aggregation/>
          </cx:layoutPr>
          <cx:axisId val="1"/>
        </cx:series>
        <cx:series layoutId="paretoLine" ownerIdx="0" uniqueId="{BC90F881-1FD1-4265-8FD6-7C9EED7FCAE6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3" Type="http://schemas.openxmlformats.org/officeDocument/2006/relationships/chart" Target="../charts/chart2.xml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11" Type="http://schemas.openxmlformats.org/officeDocument/2006/relationships/image" Target="../media/image5.png"/><Relationship Id="rId5" Type="http://schemas.openxmlformats.org/officeDocument/2006/relationships/chart" Target="../charts/chart4.xml"/><Relationship Id="rId10" Type="http://schemas.openxmlformats.org/officeDocument/2006/relationships/image" Target="../media/image4.svg"/><Relationship Id="rId4" Type="http://schemas.openxmlformats.org/officeDocument/2006/relationships/chart" Target="../charts/chart3.xml"/><Relationship Id="rId9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32</xdr:col>
      <xdr:colOff>323850</xdr:colOff>
      <xdr:row>43</xdr:row>
      <xdr:rowOff>19050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9D4C493-3714-93F7-01CF-CCCFF3A41C11}"/>
            </a:ext>
          </a:extLst>
        </xdr:cNvPr>
        <xdr:cNvSpPr/>
      </xdr:nvSpPr>
      <xdr:spPr>
        <a:xfrm>
          <a:off x="0" y="0"/>
          <a:ext cx="19831050" cy="7800975"/>
        </a:xfrm>
        <a:prstGeom prst="rect">
          <a:avLst/>
        </a:prstGeom>
        <a:solidFill>
          <a:srgbClr val="1A1F24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noFill/>
          </a:endParaRPr>
        </a:p>
      </xdr:txBody>
    </xdr:sp>
    <xdr:clientData/>
  </xdr:twoCellAnchor>
  <xdr:twoCellAnchor>
    <xdr:from>
      <xdr:col>0</xdr:col>
      <xdr:colOff>114300</xdr:colOff>
      <xdr:row>0</xdr:row>
      <xdr:rowOff>112395</xdr:rowOff>
    </xdr:from>
    <xdr:to>
      <xdr:col>3</xdr:col>
      <xdr:colOff>601980</xdr:colOff>
      <xdr:row>42</xdr:row>
      <xdr:rowOff>114300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A406B4C1-AAA6-6CD9-2B1A-FA99781C8B6A}"/>
            </a:ext>
          </a:extLst>
        </xdr:cNvPr>
        <xdr:cNvSpPr/>
      </xdr:nvSpPr>
      <xdr:spPr>
        <a:xfrm>
          <a:off x="114300" y="112395"/>
          <a:ext cx="2316480" cy="7602855"/>
        </a:xfrm>
        <a:prstGeom prst="roundRect">
          <a:avLst>
            <a:gd name="adj" fmla="val 5601"/>
          </a:avLst>
        </a:prstGeom>
        <a:solidFill>
          <a:srgbClr val="262B2F"/>
        </a:solidFill>
        <a:ln>
          <a:solidFill>
            <a:srgbClr val="262B2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584834</xdr:colOff>
      <xdr:row>0</xdr:row>
      <xdr:rowOff>163830</xdr:rowOff>
    </xdr:from>
    <xdr:to>
      <xdr:col>19</xdr:col>
      <xdr:colOff>506729</xdr:colOff>
      <xdr:row>7</xdr:row>
      <xdr:rowOff>49530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AB349D7D-DFBB-41EE-A97B-83884CDE8435}"/>
            </a:ext>
          </a:extLst>
        </xdr:cNvPr>
        <xdr:cNvSpPr/>
      </xdr:nvSpPr>
      <xdr:spPr>
        <a:xfrm>
          <a:off x="8509634" y="163830"/>
          <a:ext cx="3579495" cy="1152525"/>
        </a:xfrm>
        <a:prstGeom prst="roundRect">
          <a:avLst>
            <a:gd name="adj" fmla="val 5601"/>
          </a:avLst>
        </a:prstGeom>
        <a:solidFill>
          <a:srgbClr val="262B2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95250</xdr:colOff>
      <xdr:row>7</xdr:row>
      <xdr:rowOff>167640</xdr:rowOff>
    </xdr:from>
    <xdr:to>
      <xdr:col>15</xdr:col>
      <xdr:colOff>381000</xdr:colOff>
      <xdr:row>24</xdr:row>
      <xdr:rowOff>102870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A14901D6-502A-4252-BF22-D33904E1CA6F}"/>
            </a:ext>
          </a:extLst>
        </xdr:cNvPr>
        <xdr:cNvSpPr/>
      </xdr:nvSpPr>
      <xdr:spPr>
        <a:xfrm>
          <a:off x="2533650" y="1434465"/>
          <a:ext cx="6991350" cy="3011805"/>
        </a:xfrm>
        <a:prstGeom prst="roundRect">
          <a:avLst>
            <a:gd name="adj" fmla="val 5601"/>
          </a:avLst>
        </a:prstGeom>
        <a:solidFill>
          <a:srgbClr val="262B2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289559</xdr:colOff>
      <xdr:row>0</xdr:row>
      <xdr:rowOff>163830</xdr:rowOff>
    </xdr:from>
    <xdr:to>
      <xdr:col>11</xdr:col>
      <xdr:colOff>194309</xdr:colOff>
      <xdr:row>7</xdr:row>
      <xdr:rowOff>45720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10BEF78F-4FC9-4D01-A67F-A4DF3612F731}"/>
            </a:ext>
          </a:extLst>
        </xdr:cNvPr>
        <xdr:cNvSpPr/>
      </xdr:nvSpPr>
      <xdr:spPr>
        <a:xfrm>
          <a:off x="3358726" y="163830"/>
          <a:ext cx="3587750" cy="1141307"/>
        </a:xfrm>
        <a:prstGeom prst="roundRect">
          <a:avLst>
            <a:gd name="adj" fmla="val 5601"/>
          </a:avLst>
        </a:prstGeom>
        <a:solidFill>
          <a:srgbClr val="262B2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600074</xdr:colOff>
      <xdr:row>0</xdr:row>
      <xdr:rowOff>172402</xdr:rowOff>
    </xdr:from>
    <xdr:to>
      <xdr:col>27</xdr:col>
      <xdr:colOff>521969</xdr:colOff>
      <xdr:row>7</xdr:row>
      <xdr:rowOff>31432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F31A0534-3D6F-4277-952D-3849BCB5BC7A}"/>
            </a:ext>
          </a:extLst>
        </xdr:cNvPr>
        <xdr:cNvSpPr/>
      </xdr:nvSpPr>
      <xdr:spPr>
        <a:xfrm>
          <a:off x="13401674" y="172402"/>
          <a:ext cx="3579495" cy="1125855"/>
        </a:xfrm>
        <a:prstGeom prst="roundRect">
          <a:avLst>
            <a:gd name="adj" fmla="val 5601"/>
          </a:avLst>
        </a:prstGeom>
        <a:solidFill>
          <a:srgbClr val="262B2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97157</xdr:colOff>
      <xdr:row>24</xdr:row>
      <xdr:rowOff>173355</xdr:rowOff>
    </xdr:from>
    <xdr:to>
      <xdr:col>13</xdr:col>
      <xdr:colOff>459442</xdr:colOff>
      <xdr:row>41</xdr:row>
      <xdr:rowOff>93345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283682FE-BE60-4589-8F1D-B9C2E1E70D1C}"/>
            </a:ext>
          </a:extLst>
        </xdr:cNvPr>
        <xdr:cNvSpPr/>
      </xdr:nvSpPr>
      <xdr:spPr>
        <a:xfrm>
          <a:off x="2517628" y="4476414"/>
          <a:ext cx="5808343" cy="2967990"/>
        </a:xfrm>
        <a:prstGeom prst="roundRect">
          <a:avLst>
            <a:gd name="adj" fmla="val 5601"/>
          </a:avLst>
        </a:prstGeom>
        <a:solidFill>
          <a:srgbClr val="262B2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447675</xdr:colOff>
      <xdr:row>8</xdr:row>
      <xdr:rowOff>9526</xdr:rowOff>
    </xdr:from>
    <xdr:to>
      <xdr:col>22</xdr:col>
      <xdr:colOff>167640</xdr:colOff>
      <xdr:row>24</xdr:row>
      <xdr:rowOff>114301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8BF1FEFE-DEA6-4650-850D-43E135C4DC54}"/>
            </a:ext>
          </a:extLst>
        </xdr:cNvPr>
        <xdr:cNvSpPr/>
      </xdr:nvSpPr>
      <xdr:spPr>
        <a:xfrm>
          <a:off x="9591675" y="1457326"/>
          <a:ext cx="3987165" cy="3000375"/>
        </a:xfrm>
        <a:prstGeom prst="roundRect">
          <a:avLst>
            <a:gd name="adj" fmla="val 5601"/>
          </a:avLst>
        </a:prstGeom>
        <a:solidFill>
          <a:srgbClr val="262B2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522867</xdr:colOff>
      <xdr:row>25</xdr:row>
      <xdr:rowOff>23870</xdr:rowOff>
    </xdr:from>
    <xdr:to>
      <xdr:col>21</xdr:col>
      <xdr:colOff>70597</xdr:colOff>
      <xdr:row>41</xdr:row>
      <xdr:rowOff>134584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B8FC9BCC-EC93-4230-9836-1CEA53226EFB}"/>
            </a:ext>
          </a:extLst>
        </xdr:cNvPr>
        <xdr:cNvSpPr/>
      </xdr:nvSpPr>
      <xdr:spPr>
        <a:xfrm>
          <a:off x="8389396" y="4506223"/>
          <a:ext cx="4388672" cy="2979420"/>
        </a:xfrm>
        <a:prstGeom prst="roundRect">
          <a:avLst>
            <a:gd name="adj" fmla="val 5601"/>
          </a:avLst>
        </a:prstGeom>
        <a:solidFill>
          <a:srgbClr val="262B2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228599</xdr:colOff>
      <xdr:row>8</xdr:row>
      <xdr:rowOff>9526</xdr:rowOff>
    </xdr:from>
    <xdr:to>
      <xdr:col>28</xdr:col>
      <xdr:colOff>525780</xdr:colOff>
      <xdr:row>24</xdr:row>
      <xdr:rowOff>112396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16583013-F5E4-4090-AC27-DCCFD1965C35}"/>
            </a:ext>
          </a:extLst>
        </xdr:cNvPr>
        <xdr:cNvSpPr/>
      </xdr:nvSpPr>
      <xdr:spPr>
        <a:xfrm>
          <a:off x="13639799" y="1457326"/>
          <a:ext cx="3954781" cy="2998470"/>
        </a:xfrm>
        <a:prstGeom prst="roundRect">
          <a:avLst>
            <a:gd name="adj" fmla="val 5601"/>
          </a:avLst>
        </a:prstGeom>
        <a:solidFill>
          <a:srgbClr val="262B2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197110</xdr:colOff>
      <xdr:row>25</xdr:row>
      <xdr:rowOff>35524</xdr:rowOff>
    </xdr:from>
    <xdr:to>
      <xdr:col>28</xdr:col>
      <xdr:colOff>549088</xdr:colOff>
      <xdr:row>41</xdr:row>
      <xdr:rowOff>126964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126CFFF7-316B-4F21-975B-24D8BF0DD938}"/>
            </a:ext>
          </a:extLst>
        </xdr:cNvPr>
        <xdr:cNvSpPr/>
      </xdr:nvSpPr>
      <xdr:spPr>
        <a:xfrm>
          <a:off x="12904581" y="4517877"/>
          <a:ext cx="4587801" cy="2960146"/>
        </a:xfrm>
        <a:prstGeom prst="roundRect">
          <a:avLst>
            <a:gd name="adj" fmla="val 5601"/>
          </a:avLst>
        </a:prstGeom>
        <a:solidFill>
          <a:srgbClr val="262B2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93345</xdr:colOff>
      <xdr:row>26</xdr:row>
      <xdr:rowOff>114300</xdr:rowOff>
    </xdr:from>
    <xdr:to>
      <xdr:col>13</xdr:col>
      <xdr:colOff>414618</xdr:colOff>
      <xdr:row>41</xdr:row>
      <xdr:rowOff>44823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1B5C52A9-9430-4FEE-A631-AEB217567A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31745" y="4869180"/>
              <a:ext cx="5807673" cy="26737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4</xdr:col>
      <xdr:colOff>190498</xdr:colOff>
      <xdr:row>25</xdr:row>
      <xdr:rowOff>109643</xdr:rowOff>
    </xdr:from>
    <xdr:to>
      <xdr:col>12</xdr:col>
      <xdr:colOff>64770</xdr:colOff>
      <xdr:row>27</xdr:row>
      <xdr:rowOff>109643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B49DDA3A-30F0-9929-234E-DE5771822B41}"/>
            </a:ext>
          </a:extLst>
        </xdr:cNvPr>
        <xdr:cNvSpPr txBox="1"/>
      </xdr:nvSpPr>
      <xdr:spPr>
        <a:xfrm>
          <a:off x="2645831" y="4607560"/>
          <a:ext cx="4784939" cy="359833"/>
        </a:xfrm>
        <a:prstGeom prst="rect">
          <a:avLst/>
        </a:prstGeom>
        <a:noFill/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Causas que Mais Impactam o Volume de Atendimentos</a:t>
          </a:r>
        </a:p>
      </xdr:txBody>
    </xdr:sp>
    <xdr:clientData/>
  </xdr:twoCellAnchor>
  <xdr:twoCellAnchor>
    <xdr:from>
      <xdr:col>4</xdr:col>
      <xdr:colOff>249555</xdr:colOff>
      <xdr:row>9</xdr:row>
      <xdr:rowOff>26670</xdr:rowOff>
    </xdr:from>
    <xdr:to>
      <xdr:col>15</xdr:col>
      <xdr:colOff>371475</xdr:colOff>
      <xdr:row>24</xdr:row>
      <xdr:rowOff>57150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BD49706F-F8A3-450E-8E9A-D8774F09C3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451484</xdr:colOff>
      <xdr:row>10</xdr:row>
      <xdr:rowOff>148590</xdr:rowOff>
    </xdr:from>
    <xdr:to>
      <xdr:col>22</xdr:col>
      <xdr:colOff>217169</xdr:colOff>
      <xdr:row>25</xdr:row>
      <xdr:rowOff>7620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3C073314-D93E-4485-B6A3-3E96659BB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118109</xdr:colOff>
      <xdr:row>11</xdr:row>
      <xdr:rowOff>28575</xdr:rowOff>
    </xdr:from>
    <xdr:to>
      <xdr:col>28</xdr:col>
      <xdr:colOff>495300</xdr:colOff>
      <xdr:row>25</xdr:row>
      <xdr:rowOff>17146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CB3013C8-F2D1-4A7C-8084-3456C22C1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541692</xdr:colOff>
      <xdr:row>26</xdr:row>
      <xdr:rowOff>32723</xdr:rowOff>
    </xdr:from>
    <xdr:to>
      <xdr:col>21</xdr:col>
      <xdr:colOff>50538</xdr:colOff>
      <xdr:row>41</xdr:row>
      <xdr:rowOff>80796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C92D36E5-8972-4D8A-B997-C8E3353CE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174138</xdr:colOff>
      <xdr:row>26</xdr:row>
      <xdr:rowOff>168088</xdr:rowOff>
    </xdr:from>
    <xdr:to>
      <xdr:col>28</xdr:col>
      <xdr:colOff>517935</xdr:colOff>
      <xdr:row>41</xdr:row>
      <xdr:rowOff>66004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4D3AF0D7-0F17-45F6-A5D6-F3EB73C3B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186477</xdr:colOff>
      <xdr:row>11</xdr:row>
      <xdr:rowOff>29634</xdr:rowOff>
    </xdr:from>
    <xdr:to>
      <xdr:col>3</xdr:col>
      <xdr:colOff>179492</xdr:colOff>
      <xdr:row>24</xdr:row>
      <xdr:rowOff>142452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COLABORADORES 1">
              <a:extLst>
                <a:ext uri="{FF2B5EF4-FFF2-40B4-BE49-F238E27FC236}">
                  <a16:creationId xmlns:a16="http://schemas.microsoft.com/office/drawing/2014/main" id="{A43D26D3-39D9-40F8-B366-D38B17B672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ABORADOR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572" y="2018454"/>
              <a:ext cx="1821815" cy="24654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473286</xdr:colOff>
      <xdr:row>1</xdr:row>
      <xdr:rowOff>100541</xdr:rowOff>
    </xdr:from>
    <xdr:to>
      <xdr:col>7</xdr:col>
      <xdr:colOff>57785</xdr:colOff>
      <xdr:row>6</xdr:row>
      <xdr:rowOff>58208</xdr:rowOff>
    </xdr:to>
    <xdr:sp macro="" textlink="">
      <xdr:nvSpPr>
        <xdr:cNvPr id="21" name="Fluxograma: Conector 20">
          <a:extLst>
            <a:ext uri="{FF2B5EF4-FFF2-40B4-BE49-F238E27FC236}">
              <a16:creationId xmlns:a16="http://schemas.microsoft.com/office/drawing/2014/main" id="{14AD3033-E247-3B91-CD81-ED227DD2C524}"/>
            </a:ext>
          </a:extLst>
        </xdr:cNvPr>
        <xdr:cNvSpPr/>
      </xdr:nvSpPr>
      <xdr:spPr>
        <a:xfrm>
          <a:off x="3542453" y="280458"/>
          <a:ext cx="812165" cy="85725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129752</xdr:colOff>
      <xdr:row>1</xdr:row>
      <xdr:rowOff>92921</xdr:rowOff>
    </xdr:from>
    <xdr:to>
      <xdr:col>23</xdr:col>
      <xdr:colOff>316653</xdr:colOff>
      <xdr:row>6</xdr:row>
      <xdr:rowOff>58208</xdr:rowOff>
    </xdr:to>
    <xdr:sp macro="" textlink="">
      <xdr:nvSpPr>
        <xdr:cNvPr id="22" name="Fluxograma: Conector 21">
          <a:extLst>
            <a:ext uri="{FF2B5EF4-FFF2-40B4-BE49-F238E27FC236}">
              <a16:creationId xmlns:a16="http://schemas.microsoft.com/office/drawing/2014/main" id="{013DED7C-2F3A-4912-AB39-A00A1CBB6646}"/>
            </a:ext>
          </a:extLst>
        </xdr:cNvPr>
        <xdr:cNvSpPr/>
      </xdr:nvSpPr>
      <xdr:spPr>
        <a:xfrm>
          <a:off x="13634085" y="272838"/>
          <a:ext cx="800735" cy="86487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303953</xdr:colOff>
      <xdr:row>1</xdr:row>
      <xdr:rowOff>117898</xdr:rowOff>
    </xdr:from>
    <xdr:to>
      <xdr:col>15</xdr:col>
      <xdr:colOff>492760</xdr:colOff>
      <xdr:row>6</xdr:row>
      <xdr:rowOff>75565</xdr:rowOff>
    </xdr:to>
    <xdr:sp macro="" textlink="">
      <xdr:nvSpPr>
        <xdr:cNvPr id="23" name="Fluxograma: Conector 22">
          <a:extLst>
            <a:ext uri="{FF2B5EF4-FFF2-40B4-BE49-F238E27FC236}">
              <a16:creationId xmlns:a16="http://schemas.microsoft.com/office/drawing/2014/main" id="{0321C3A6-E73E-49C3-A7DE-3431C1D96095}"/>
            </a:ext>
          </a:extLst>
        </xdr:cNvPr>
        <xdr:cNvSpPr/>
      </xdr:nvSpPr>
      <xdr:spPr>
        <a:xfrm>
          <a:off x="8897620" y="297815"/>
          <a:ext cx="802640" cy="85725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477518</xdr:colOff>
      <xdr:row>8</xdr:row>
      <xdr:rowOff>127636</xdr:rowOff>
    </xdr:from>
    <xdr:to>
      <xdr:col>18</xdr:col>
      <xdr:colOff>601345</xdr:colOff>
      <xdr:row>10</xdr:row>
      <xdr:rowOff>127635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CF85C3D9-8341-481F-BCFE-31752BAA6D85}"/>
            </a:ext>
          </a:extLst>
        </xdr:cNvPr>
        <xdr:cNvSpPr txBox="1"/>
      </xdr:nvSpPr>
      <xdr:spPr>
        <a:xfrm>
          <a:off x="9685018" y="1566969"/>
          <a:ext cx="1965327" cy="359833"/>
        </a:xfrm>
        <a:prstGeom prst="rect">
          <a:avLst/>
        </a:prstGeom>
        <a:noFill/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Atendimento por Dia</a:t>
          </a:r>
        </a:p>
      </xdr:txBody>
    </xdr:sp>
    <xdr:clientData/>
  </xdr:twoCellAnchor>
  <xdr:twoCellAnchor>
    <xdr:from>
      <xdr:col>4</xdr:col>
      <xdr:colOff>131232</xdr:colOff>
      <xdr:row>8</xdr:row>
      <xdr:rowOff>127636</xdr:rowOff>
    </xdr:from>
    <xdr:to>
      <xdr:col>12</xdr:col>
      <xdr:colOff>7409</xdr:colOff>
      <xdr:row>10</xdr:row>
      <xdr:rowOff>127635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6B0920B6-A78A-4A8C-8806-91747F7157C2}"/>
            </a:ext>
          </a:extLst>
        </xdr:cNvPr>
        <xdr:cNvSpPr txBox="1"/>
      </xdr:nvSpPr>
      <xdr:spPr>
        <a:xfrm>
          <a:off x="2586565" y="1566969"/>
          <a:ext cx="4786844" cy="359833"/>
        </a:xfrm>
        <a:prstGeom prst="rect">
          <a:avLst/>
        </a:prstGeom>
        <a:noFill/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Atuação</a:t>
          </a:r>
          <a:r>
            <a:rPr lang="pt-BR" sz="14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dos Analistas - Visão Atual</a:t>
          </a:r>
          <a:endParaRPr lang="pt-BR" sz="14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577636</xdr:colOff>
      <xdr:row>25</xdr:row>
      <xdr:rowOff>109643</xdr:rowOff>
    </xdr:from>
    <xdr:to>
      <xdr:col>21</xdr:col>
      <xdr:colOff>448098</xdr:colOff>
      <xdr:row>27</xdr:row>
      <xdr:rowOff>109643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FEC29F33-B601-4ED8-B72D-7C34445F8ECA}"/>
            </a:ext>
          </a:extLst>
        </xdr:cNvPr>
        <xdr:cNvSpPr txBox="1"/>
      </xdr:nvSpPr>
      <xdr:spPr>
        <a:xfrm>
          <a:off x="8557469" y="4607560"/>
          <a:ext cx="4781129" cy="359833"/>
        </a:xfrm>
        <a:prstGeom prst="rect">
          <a:avLst/>
        </a:prstGeom>
        <a:noFill/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Horas</a:t>
          </a:r>
          <a:r>
            <a:rPr lang="pt-BR" sz="14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Trabalhas por Dia</a:t>
          </a:r>
          <a:endParaRPr lang="pt-BR" sz="14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22</xdr:col>
      <xdr:colOff>212088</xdr:colOff>
      <xdr:row>8</xdr:row>
      <xdr:rowOff>76200</xdr:rowOff>
    </xdr:from>
    <xdr:to>
      <xdr:col>28</xdr:col>
      <xdr:colOff>52917</xdr:colOff>
      <xdr:row>10</xdr:row>
      <xdr:rowOff>76199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E012B09C-F614-4AE9-8E5F-F178ECF0D8BC}"/>
            </a:ext>
          </a:extLst>
        </xdr:cNvPr>
        <xdr:cNvSpPr txBox="1"/>
      </xdr:nvSpPr>
      <xdr:spPr>
        <a:xfrm>
          <a:off x="13716421" y="1515533"/>
          <a:ext cx="3523829" cy="359833"/>
        </a:xfrm>
        <a:prstGeom prst="rect">
          <a:avLst/>
        </a:prstGeom>
        <a:noFill/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Atendimento por Mês</a:t>
          </a:r>
        </a:p>
      </xdr:txBody>
    </xdr:sp>
    <xdr:clientData/>
  </xdr:twoCellAnchor>
  <xdr:twoCellAnchor>
    <xdr:from>
      <xdr:col>21</xdr:col>
      <xdr:colOff>313052</xdr:colOff>
      <xdr:row>25</xdr:row>
      <xdr:rowOff>109643</xdr:rowOff>
    </xdr:from>
    <xdr:to>
      <xdr:col>29</xdr:col>
      <xdr:colOff>181609</xdr:colOff>
      <xdr:row>27</xdr:row>
      <xdr:rowOff>109643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54AAA688-E2C3-4A14-A260-DE383BF07636}"/>
            </a:ext>
          </a:extLst>
        </xdr:cNvPr>
        <xdr:cNvSpPr txBox="1"/>
      </xdr:nvSpPr>
      <xdr:spPr>
        <a:xfrm>
          <a:off x="13203552" y="4607560"/>
          <a:ext cx="4779224" cy="359833"/>
        </a:xfrm>
        <a:prstGeom prst="rect">
          <a:avLst/>
        </a:prstGeom>
        <a:noFill/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Total de Horas</a:t>
          </a:r>
          <a:r>
            <a:rPr lang="pt-BR" sz="14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Trabalhas (Mês)</a:t>
          </a:r>
          <a:endParaRPr lang="pt-BR" sz="14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503552</xdr:colOff>
      <xdr:row>5</xdr:row>
      <xdr:rowOff>26141</xdr:rowOff>
    </xdr:from>
    <xdr:to>
      <xdr:col>10</xdr:col>
      <xdr:colOff>176952</xdr:colOff>
      <xdr:row>7</xdr:row>
      <xdr:rowOff>26140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D4D35274-BEF9-4E85-B794-39735FC04BD7}"/>
            </a:ext>
          </a:extLst>
        </xdr:cNvPr>
        <xdr:cNvSpPr txBox="1"/>
      </xdr:nvSpPr>
      <xdr:spPr>
        <a:xfrm>
          <a:off x="4800385" y="925724"/>
          <a:ext cx="1514900" cy="359833"/>
        </a:xfrm>
        <a:prstGeom prst="rect">
          <a:avLst/>
        </a:prstGeom>
        <a:noFill/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Consultoria</a:t>
          </a:r>
          <a:endParaRPr lang="pt-BR" sz="18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23</xdr:col>
      <xdr:colOff>602613</xdr:colOff>
      <xdr:row>5</xdr:row>
      <xdr:rowOff>26141</xdr:rowOff>
    </xdr:from>
    <xdr:to>
      <xdr:col>27</xdr:col>
      <xdr:colOff>46144</xdr:colOff>
      <xdr:row>7</xdr:row>
      <xdr:rowOff>26140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8795F7CD-DF5A-4F8F-915F-6BEC215249C8}"/>
            </a:ext>
          </a:extLst>
        </xdr:cNvPr>
        <xdr:cNvSpPr txBox="1"/>
      </xdr:nvSpPr>
      <xdr:spPr>
        <a:xfrm>
          <a:off x="14720780" y="925724"/>
          <a:ext cx="1898864" cy="359833"/>
        </a:xfrm>
        <a:prstGeom prst="rect">
          <a:avLst/>
        </a:prstGeom>
        <a:noFill/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Agendamentos</a:t>
          </a:r>
          <a:endParaRPr lang="pt-BR" sz="1800">
            <a:solidFill>
              <a:schemeClr val="bg1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433279</xdr:colOff>
      <xdr:row>5</xdr:row>
      <xdr:rowOff>26141</xdr:rowOff>
    </xdr:from>
    <xdr:to>
      <xdr:col>19</xdr:col>
      <xdr:colOff>104774</xdr:colOff>
      <xdr:row>7</xdr:row>
      <xdr:rowOff>26140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E2EDB0C6-89DD-43BB-AD85-6CCFBFEB1F45}"/>
            </a:ext>
          </a:extLst>
        </xdr:cNvPr>
        <xdr:cNvSpPr txBox="1"/>
      </xdr:nvSpPr>
      <xdr:spPr>
        <a:xfrm>
          <a:off x="10254612" y="925724"/>
          <a:ext cx="1512995" cy="359833"/>
        </a:xfrm>
        <a:prstGeom prst="rect">
          <a:avLst/>
        </a:prstGeom>
        <a:noFill/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Reuniões</a:t>
          </a:r>
          <a:endParaRPr lang="pt-BR" sz="1800">
            <a:solidFill>
              <a:schemeClr val="bg1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24</xdr:col>
      <xdr:colOff>365969</xdr:colOff>
      <xdr:row>1</xdr:row>
      <xdr:rowOff>70483</xdr:rowOff>
    </xdr:from>
    <xdr:to>
      <xdr:col>27</xdr:col>
      <xdr:colOff>80857</xdr:colOff>
      <xdr:row>5</xdr:row>
      <xdr:rowOff>33231</xdr:rowOff>
    </xdr:to>
    <xdr:sp macro="" textlink="TABELAS!B8">
      <xdr:nvSpPr>
        <xdr:cNvPr id="33" name="CaixaDeTexto 32">
          <a:extLst>
            <a:ext uri="{FF2B5EF4-FFF2-40B4-BE49-F238E27FC236}">
              <a16:creationId xmlns:a16="http://schemas.microsoft.com/office/drawing/2014/main" id="{2A193C33-1B87-44E6-8B48-7EABA1A8DD39}"/>
            </a:ext>
          </a:extLst>
        </xdr:cNvPr>
        <xdr:cNvSpPr txBox="1"/>
      </xdr:nvSpPr>
      <xdr:spPr>
        <a:xfrm>
          <a:off x="15097969" y="250400"/>
          <a:ext cx="1556388" cy="682414"/>
        </a:xfrm>
        <a:prstGeom prst="rect">
          <a:avLst/>
        </a:prstGeom>
        <a:noFill/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38FEBF9-C99B-4831-A0C1-6CEBCF5513A9}" type="TxLink">
            <a:rPr lang="en-US" sz="3600" b="1" i="0" u="none" strike="noStrike">
              <a:solidFill>
                <a:schemeClr val="bg1"/>
              </a:solidFill>
              <a:latin typeface="Arial Black" panose="020B0A04020102020204" pitchFamily="34" charset="0"/>
              <a:ea typeface="Calibri"/>
              <a:cs typeface="Arial" panose="020B0604020202020204" pitchFamily="34" charset="0"/>
            </a:rPr>
            <a:pPr/>
            <a:t>103</a:t>
          </a:fld>
          <a:endParaRPr lang="pt-BR" sz="5400" b="1">
            <a:solidFill>
              <a:schemeClr val="bg1"/>
            </a:solidFill>
            <a:latin typeface="Arial Black" panose="020B0A040201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598591</xdr:colOff>
      <xdr:row>1</xdr:row>
      <xdr:rowOff>79056</xdr:rowOff>
    </xdr:from>
    <xdr:to>
      <xdr:col>19</xdr:col>
      <xdr:colOff>292524</xdr:colOff>
      <xdr:row>5</xdr:row>
      <xdr:rowOff>32279</xdr:rowOff>
    </xdr:to>
    <xdr:sp macro="" textlink="TABELAS!C8">
      <xdr:nvSpPr>
        <xdr:cNvPr id="34" name="CaixaDeTexto 33">
          <a:extLst>
            <a:ext uri="{FF2B5EF4-FFF2-40B4-BE49-F238E27FC236}">
              <a16:creationId xmlns:a16="http://schemas.microsoft.com/office/drawing/2014/main" id="{3B17B1FE-9F6F-4CBA-A364-3E18D4F8C5D2}"/>
            </a:ext>
          </a:extLst>
        </xdr:cNvPr>
        <xdr:cNvSpPr txBox="1"/>
      </xdr:nvSpPr>
      <xdr:spPr>
        <a:xfrm>
          <a:off x="10419924" y="258973"/>
          <a:ext cx="1535433" cy="672889"/>
        </a:xfrm>
        <a:prstGeom prst="rect">
          <a:avLst/>
        </a:prstGeom>
        <a:noFill/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14BAB81-6C35-4147-89EC-A2F9846DCC5A}" type="TxLink">
            <a:rPr lang="en-US" sz="3600" b="0" i="0" u="none" strike="noStrike">
              <a:solidFill>
                <a:schemeClr val="bg1"/>
              </a:solidFill>
              <a:latin typeface="Arial Black" panose="020B0A04020102020204" pitchFamily="34" charset="0"/>
              <a:ea typeface="Calibri"/>
              <a:cs typeface="Calibri"/>
            </a:rPr>
            <a:pPr/>
            <a:t>31</a:t>
          </a:fld>
          <a:endParaRPr lang="pt-BR" sz="3600" b="1">
            <a:solidFill>
              <a:schemeClr val="bg1"/>
            </a:solidFill>
            <a:latin typeface="Arial Black" panose="020B0A040201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275799</xdr:colOff>
      <xdr:row>1</xdr:row>
      <xdr:rowOff>105726</xdr:rowOff>
    </xdr:from>
    <xdr:to>
      <xdr:col>9</xdr:col>
      <xdr:colOff>178435</xdr:colOff>
      <xdr:row>5</xdr:row>
      <xdr:rowOff>49424</xdr:rowOff>
    </xdr:to>
    <xdr:sp macro="" textlink="TABELAS!D8">
      <xdr:nvSpPr>
        <xdr:cNvPr id="35" name="CaixaDeTexto 34">
          <a:extLst>
            <a:ext uri="{FF2B5EF4-FFF2-40B4-BE49-F238E27FC236}">
              <a16:creationId xmlns:a16="http://schemas.microsoft.com/office/drawing/2014/main" id="{8494C86F-A431-4B5A-814B-562AAD8209AF}"/>
            </a:ext>
          </a:extLst>
        </xdr:cNvPr>
        <xdr:cNvSpPr txBox="1"/>
      </xdr:nvSpPr>
      <xdr:spPr>
        <a:xfrm>
          <a:off x="5152599" y="286701"/>
          <a:ext cx="512236" cy="667598"/>
        </a:xfrm>
        <a:prstGeom prst="rect">
          <a:avLst/>
        </a:prstGeom>
        <a:noFill/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C90686C-C283-4B33-8D68-09B0112AFB88}" type="TxLink">
            <a:rPr lang="en-US" sz="3600" b="0" i="0" u="none" strike="noStrike">
              <a:solidFill>
                <a:schemeClr val="bg1"/>
              </a:solidFill>
              <a:latin typeface="Arial Black" panose="020B0A04020102020204" pitchFamily="34" charset="0"/>
              <a:ea typeface="Calibri"/>
              <a:cs typeface="Calibri"/>
            </a:rPr>
            <a:pPr/>
            <a:t>5</a:t>
          </a:fld>
          <a:endParaRPr lang="pt-BR" sz="3600" b="1">
            <a:solidFill>
              <a:schemeClr val="bg1"/>
            </a:solidFill>
            <a:latin typeface="Arial Black" panose="020B0A040201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5</xdr:col>
      <xdr:colOff>492549</xdr:colOff>
      <xdr:row>1</xdr:row>
      <xdr:rowOff>179915</xdr:rowOff>
    </xdr:from>
    <xdr:to>
      <xdr:col>7</xdr:col>
      <xdr:colOff>20974</xdr:colOff>
      <xdr:row>6</xdr:row>
      <xdr:rowOff>40428</xdr:rowOff>
    </xdr:to>
    <xdr:pic>
      <xdr:nvPicPr>
        <xdr:cNvPr id="37" name="Gráfico 36" descr="Cérebro com preenchimento sólido">
          <a:extLst>
            <a:ext uri="{FF2B5EF4-FFF2-40B4-BE49-F238E27FC236}">
              <a16:creationId xmlns:a16="http://schemas.microsoft.com/office/drawing/2014/main" id="{42933AE0-6E24-24BE-9288-338BACC05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561716" y="359832"/>
          <a:ext cx="756091" cy="760096"/>
        </a:xfrm>
        <a:prstGeom prst="rect">
          <a:avLst/>
        </a:prstGeom>
      </xdr:spPr>
    </xdr:pic>
    <xdr:clientData/>
  </xdr:twoCellAnchor>
  <xdr:twoCellAnchor editAs="oneCell">
    <xdr:from>
      <xdr:col>22</xdr:col>
      <xdr:colOff>159736</xdr:colOff>
      <xdr:row>1</xdr:row>
      <xdr:rowOff>138357</xdr:rowOff>
    </xdr:from>
    <xdr:to>
      <xdr:col>23</xdr:col>
      <xdr:colOff>314139</xdr:colOff>
      <xdr:row>5</xdr:row>
      <xdr:rowOff>176107</xdr:rowOff>
    </xdr:to>
    <xdr:pic>
      <xdr:nvPicPr>
        <xdr:cNvPr id="39" name="Gráfico 38" descr="Relógio com preenchimento sólido">
          <a:extLst>
            <a:ext uri="{FF2B5EF4-FFF2-40B4-BE49-F238E27FC236}">
              <a16:creationId xmlns:a16="http://schemas.microsoft.com/office/drawing/2014/main" id="{06BD13EB-CA89-143A-C565-FD3830280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664069" y="318274"/>
          <a:ext cx="768237" cy="757416"/>
        </a:xfrm>
        <a:prstGeom prst="rect">
          <a:avLst/>
        </a:prstGeom>
      </xdr:spPr>
    </xdr:pic>
    <xdr:clientData/>
  </xdr:twoCellAnchor>
  <xdr:twoCellAnchor editAs="oneCell">
    <xdr:from>
      <xdr:col>14</xdr:col>
      <xdr:colOff>278832</xdr:colOff>
      <xdr:row>1</xdr:row>
      <xdr:rowOff>159452</xdr:rowOff>
    </xdr:from>
    <xdr:to>
      <xdr:col>15</xdr:col>
      <xdr:colOff>575589</xdr:colOff>
      <xdr:row>6</xdr:row>
      <xdr:rowOff>160934</xdr:rowOff>
    </xdr:to>
    <xdr:pic>
      <xdr:nvPicPr>
        <xdr:cNvPr id="41" name="Gráfico 40" descr="Aperto de mão com preenchimento sólido">
          <a:extLst>
            <a:ext uri="{FF2B5EF4-FFF2-40B4-BE49-F238E27FC236}">
              <a16:creationId xmlns:a16="http://schemas.microsoft.com/office/drawing/2014/main" id="{70E8386C-89B5-899F-8DBF-187C3520B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8872499" y="339369"/>
          <a:ext cx="910590" cy="9010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1392555</xdr:colOff>
      <xdr:row>25</xdr:row>
      <xdr:rowOff>143827</xdr:rowOff>
    </xdr:from>
    <xdr:to>
      <xdr:col>17</xdr:col>
      <xdr:colOff>541020</xdr:colOff>
      <xdr:row>40</xdr:row>
      <xdr:rowOff>180022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A0C01C-491B-1E9E-678D-B4CBD64C0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601980</xdr:colOff>
      <xdr:row>25</xdr:row>
      <xdr:rowOff>162877</xdr:rowOff>
    </xdr:from>
    <xdr:to>
      <xdr:col>22</xdr:col>
      <xdr:colOff>426720</xdr:colOff>
      <xdr:row>41</xdr:row>
      <xdr:rowOff>18097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153170A-F008-C796-6FD5-220E47D26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123824</xdr:colOff>
      <xdr:row>3</xdr:row>
      <xdr:rowOff>164781</xdr:rowOff>
    </xdr:from>
    <xdr:to>
      <xdr:col>12</xdr:col>
      <xdr:colOff>1066799</xdr:colOff>
      <xdr:row>27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B26D69AC-9B81-B8DC-DAF1-97E7553A63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68364" y="759141"/>
              <a:ext cx="5271135" cy="43329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227647</xdr:colOff>
      <xdr:row>13</xdr:row>
      <xdr:rowOff>69532</xdr:rowOff>
    </xdr:from>
    <xdr:to>
      <xdr:col>9</xdr:col>
      <xdr:colOff>507682</xdr:colOff>
      <xdr:row>28</xdr:row>
      <xdr:rowOff>103822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B909D8-E980-0EC9-B81F-10194F3D4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434340</xdr:colOff>
      <xdr:row>23</xdr:row>
      <xdr:rowOff>101917</xdr:rowOff>
    </xdr:from>
    <xdr:to>
      <xdr:col>18</xdr:col>
      <xdr:colOff>152400</xdr:colOff>
      <xdr:row>38</xdr:row>
      <xdr:rowOff>126682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6E7A04-AAF3-BDB7-A5A0-0B764E3D4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464820</xdr:colOff>
      <xdr:row>13</xdr:row>
      <xdr:rowOff>140017</xdr:rowOff>
    </xdr:from>
    <xdr:to>
      <xdr:col>30</xdr:col>
      <xdr:colOff>158115</xdr:colOff>
      <xdr:row>28</xdr:row>
      <xdr:rowOff>160972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FAB3AEC-9AC5-CB63-9A39-91E20A048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QUE" refreshedDate="46008.993717245372" createdVersion="8" refreshedVersion="8" minRefreshableVersion="3" recordCount="6" xr:uid="{ECF23D4A-B5F4-44DC-8A02-9DF2339CDB9A}">
  <cacheSource type="worksheet">
    <worksheetSource ref="A1:H7" sheet="TABELAS UNIFICADAS"/>
  </cacheSource>
  <cacheFields count="8">
    <cacheField name="COLABORADORES" numFmtId="0">
      <sharedItems count="6">
        <s v="MATHEUS FERRAZ"/>
        <s v="RAYSSA VITÓRIA"/>
        <s v="CAMILY RAQUEL"/>
        <s v="MURILO PIETRO"/>
        <s v="PEDRO RAMOS"/>
        <s v="MELYSSA LICÁ"/>
      </sharedItems>
    </cacheField>
    <cacheField name="Agendamentos" numFmtId="0">
      <sharedItems containsSemiMixedTypes="0" containsString="0" containsNumber="1" containsInteger="1" minValue="12" maxValue="22"/>
    </cacheField>
    <cacheField name="Reuniões" numFmtId="0">
      <sharedItems containsSemiMixedTypes="0" containsString="0" containsNumber="1" containsInteger="1" minValue="1" maxValue="9"/>
    </cacheField>
    <cacheField name="Consultoria" numFmtId="0">
      <sharedItems containsSemiMixedTypes="0" containsString="0" containsNumber="1" containsInteger="1" minValue="0" maxValue="2"/>
    </cacheField>
    <cacheField name="TEMPO LOGADO" numFmtId="164">
      <sharedItems containsSemiMixedTypes="0" containsNonDate="0" containsDate="1" containsString="0" minDate="1899-12-31T04:04:24" maxDate="1899-12-31T19:27:14"/>
    </cacheField>
    <cacheField name="Atendimentos por mês" numFmtId="0">
      <sharedItems containsSemiMixedTypes="0" containsString="0" containsNumber="1" containsInteger="1" minValue="582" maxValue="1502"/>
    </cacheField>
    <cacheField name="TEMPO LOGADO1" numFmtId="164">
      <sharedItems containsSemiMixedTypes="0" containsNonDate="0" containsDate="1" containsString="0" minDate="1899-12-30T04:40:44" maxDate="1899-12-30T07:14:32"/>
    </cacheField>
    <cacheField name="Atendimento por dia" numFmtId="1">
      <sharedItems containsSemiMixedTypes="0" containsString="0" containsNumber="1" minValue="97" maxValue="250.33333333333334"/>
    </cacheField>
  </cacheFields>
  <extLst>
    <ext xmlns:x14="http://schemas.microsoft.com/office/spreadsheetml/2009/9/main" uri="{725AE2AE-9491-48be-B2B4-4EB974FC3084}">
      <x14:pivotCacheDefinition pivotCacheId="1196726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7"/>
    <n v="6"/>
    <n v="0"/>
    <d v="1899-12-31T15:31:54"/>
    <n v="1210"/>
    <d v="1899-12-30T06:35:19"/>
    <n v="201.66666666666666"/>
  </r>
  <r>
    <x v="1"/>
    <n v="17"/>
    <n v="6"/>
    <n v="2"/>
    <d v="1899-12-31T16:25:46"/>
    <n v="1502"/>
    <d v="1899-12-30T06:44:18"/>
    <n v="250.33333333333334"/>
  </r>
  <r>
    <x v="2"/>
    <n v="14"/>
    <n v="6"/>
    <n v="0"/>
    <d v="1899-12-31T16:23:53"/>
    <n v="686"/>
    <d v="1899-12-30T06:43:59"/>
    <n v="114.33333333333333"/>
  </r>
  <r>
    <x v="3"/>
    <n v="12"/>
    <n v="9"/>
    <n v="1"/>
    <d v="1899-12-31T19:27:14"/>
    <n v="725"/>
    <d v="1899-12-30T07:14:32"/>
    <n v="120.83333333333333"/>
  </r>
  <r>
    <x v="4"/>
    <n v="22"/>
    <n v="3"/>
    <n v="0"/>
    <d v="1899-12-31T04:04:24"/>
    <n v="582"/>
    <d v="1899-12-30T04:40:44"/>
    <n v="97"/>
  </r>
  <r>
    <x v="5"/>
    <n v="21"/>
    <n v="1"/>
    <n v="2"/>
    <d v="1899-12-31T15:07:46"/>
    <n v="1094"/>
    <d v="1899-12-30T06:31:18"/>
    <n v="182.333333333333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90B32-DC58-4593-AFF9-D41A05DD384C}" name="Tabela dinâ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U15:V22" firstHeaderRow="1" firstDataRow="1" firstDataCol="1"/>
  <pivotFields count="8">
    <pivotField axis="axisRow" showAll="0" sortType="descending">
      <items count="7">
        <item x="2"/>
        <item x="0"/>
        <item x="5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dataField="1" showAll="0"/>
    <pivotField numFmtId="164" showAll="0"/>
    <pivotField numFmtId="1" showAll="0"/>
  </pivotFields>
  <rowFields count="1">
    <field x="0"/>
  </rowFields>
  <rowItems count="7">
    <i>
      <x v="5"/>
    </i>
    <i>
      <x v="1"/>
    </i>
    <i>
      <x v="2"/>
    </i>
    <i>
      <x v="3"/>
    </i>
    <i>
      <x/>
    </i>
    <i>
      <x v="4"/>
    </i>
    <i t="grand">
      <x/>
    </i>
  </rowItems>
  <colItems count="1">
    <i/>
  </colItems>
  <dataFields count="1">
    <dataField name="Soma de Atendimentos por mês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B66B1-1142-4C05-B789-4ADB001DC8B4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L15:M22" firstHeaderRow="1" firstDataRow="1" firstDataCol="1"/>
  <pivotFields count="8">
    <pivotField axis="axisRow" showAll="0" sortType="descending">
      <items count="7">
        <item x="2"/>
        <item x="0"/>
        <item x="5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showAll="0"/>
    <pivotField numFmtId="164" showAll="0"/>
    <pivotField dataField="1" numFmtId="1" showAll="0"/>
  </pivotFields>
  <rowFields count="1">
    <field x="0"/>
  </rowFields>
  <rowItems count="7">
    <i>
      <x v="5"/>
    </i>
    <i>
      <x v="1"/>
    </i>
    <i>
      <x v="2"/>
    </i>
    <i>
      <x v="3"/>
    </i>
    <i>
      <x/>
    </i>
    <i>
      <x v="4"/>
    </i>
    <i t="grand">
      <x/>
    </i>
  </rowItems>
  <colItems count="1">
    <i/>
  </colItems>
  <dataFields count="1">
    <dataField name="Soma de Atendimento por dia" fld="7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AF1C2-CE35-42C1-A493-2CF3795E56B7}" name="Tabela dinâ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5:D22" firstHeaderRow="0" firstDataRow="1" firstDataCol="1"/>
  <pivotFields count="8">
    <pivotField axis="axisRow" showAll="0">
      <items count="7">
        <item x="2"/>
        <item x="0"/>
        <item x="5"/>
        <item x="3"/>
        <item x="4"/>
        <item x="1"/>
        <item t="default"/>
      </items>
    </pivotField>
    <pivotField dataField="1" showAll="0"/>
    <pivotField dataField="1" showAll="0"/>
    <pivotField dataField="1" showAll="0"/>
    <pivotField numFmtId="164" showAll="0"/>
    <pivotField showAll="0"/>
    <pivotField numFmtId="164" showAll="0"/>
    <pivotField numFmtI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Agendamentos" fld="1" baseField="0" baseItem="0"/>
    <dataField name=" Reuniões" fld="2" baseField="0" baseItem="0"/>
    <dataField name=" Consultoria" fld="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LABORADORES" xr10:uid="{F722BF6B-220F-4AA9-8255-A78B65BB2C1D}" sourceName="COLABORADORES">
  <pivotTables>
    <pivotTable tabId="3" name="Tabela dinâmica11"/>
    <pivotTable tabId="3" name="Tabela dinâmica12"/>
    <pivotTable tabId="3" name="Tabela dinâmica13"/>
  </pivotTables>
  <data>
    <tabular pivotCacheId="119672621">
      <items count="6">
        <i x="2" s="1"/>
        <i x="0" s="1"/>
        <i x="5" s="1"/>
        <i x="3" s="1"/>
        <i x="4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LABORADORES 1" xr10:uid="{4040F7A7-B84C-4684-8449-6CA351679D8C}" cache="SegmentaçãodeDados_COLABORADORES" caption="Colaboradores" style="Estilo de Segmentação de Dados 1" rowHeight="23495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1E37-E55B-47A4-B3F7-BF71BF4F88A6}">
  <sheetPr codeName="Planilha1"/>
  <dimension ref="A1"/>
  <sheetViews>
    <sheetView showGridLines="0" showRowColHeaders="0" tabSelected="1" zoomScale="70" zoomScaleNormal="70" workbookViewId="0">
      <selection activeCell="W47" sqref="W47"/>
    </sheetView>
  </sheetViews>
  <sheetFormatPr defaultRowHeight="14.4"/>
  <sheetData/>
  <sheetProtection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E74F-EB44-4913-BAAB-9FD6FE5E9500}">
  <sheetPr codeName="Planilha2"/>
  <dimension ref="A1:U8"/>
  <sheetViews>
    <sheetView workbookViewId="0">
      <selection activeCell="A4" sqref="A4"/>
    </sheetView>
  </sheetViews>
  <sheetFormatPr defaultRowHeight="14.4"/>
  <cols>
    <col min="1" max="1" width="22.33203125" bestFit="1" customWidth="1"/>
    <col min="2" max="2" width="14.88671875" bestFit="1" customWidth="1"/>
    <col min="3" max="3" width="9.5546875" bestFit="1" customWidth="1"/>
    <col min="4" max="4" width="11.77734375" bestFit="1" customWidth="1"/>
    <col min="8" max="8" width="6" bestFit="1" customWidth="1"/>
    <col min="9" max="9" width="20.109375" bestFit="1" customWidth="1"/>
    <col min="10" max="10" width="15.88671875" bestFit="1" customWidth="1"/>
    <col min="11" max="11" width="6.5546875" bestFit="1" customWidth="1"/>
    <col min="12" max="12" width="14.5546875" bestFit="1" customWidth="1"/>
    <col min="13" max="13" width="20.88671875" bestFit="1" customWidth="1"/>
    <col min="15" max="15" width="17.6640625" bestFit="1" customWidth="1"/>
    <col min="16" max="16" width="16.109375" bestFit="1" customWidth="1"/>
    <col min="17" max="17" width="15.5546875" bestFit="1" customWidth="1"/>
    <col min="19" max="19" width="17.6640625" bestFit="1" customWidth="1"/>
    <col min="20" max="20" width="17.21875" bestFit="1" customWidth="1"/>
    <col min="21" max="21" width="16.5546875" bestFit="1" customWidth="1"/>
  </cols>
  <sheetData>
    <row r="1" spans="1:21" ht="15.6">
      <c r="A1" s="1" t="s">
        <v>0</v>
      </c>
      <c r="B1" s="2" t="s">
        <v>1</v>
      </c>
      <c r="C1" s="2" t="s">
        <v>2</v>
      </c>
      <c r="D1" s="2" t="s">
        <v>3</v>
      </c>
      <c r="H1" s="5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O1" s="6" t="s">
        <v>16</v>
      </c>
      <c r="P1" s="10" t="s">
        <v>17</v>
      </c>
      <c r="Q1" s="6" t="s">
        <v>18</v>
      </c>
      <c r="S1" s="6" t="s">
        <v>21</v>
      </c>
      <c r="T1" s="15" t="s">
        <v>22</v>
      </c>
      <c r="U1" s="6" t="s">
        <v>23</v>
      </c>
    </row>
    <row r="2" spans="1:21" ht="15.6">
      <c r="A2" s="3" t="s">
        <v>4</v>
      </c>
      <c r="B2" s="4">
        <v>17</v>
      </c>
      <c r="C2" s="4">
        <v>6</v>
      </c>
      <c r="D2" s="4">
        <v>0</v>
      </c>
      <c r="H2" s="7">
        <v>9564</v>
      </c>
      <c r="I2" s="8">
        <v>2691</v>
      </c>
      <c r="J2" s="9">
        <v>4936</v>
      </c>
      <c r="K2" s="9">
        <v>1260</v>
      </c>
      <c r="L2" s="9">
        <v>555</v>
      </c>
      <c r="M2" s="9">
        <v>47</v>
      </c>
      <c r="O2" s="11" t="s">
        <v>4</v>
      </c>
      <c r="P2" s="12">
        <v>1.6471527777777777</v>
      </c>
      <c r="Q2" s="13">
        <v>1210</v>
      </c>
      <c r="S2" s="11" t="s">
        <v>4</v>
      </c>
      <c r="T2" s="12">
        <f t="shared" ref="T2:U7" si="0">P2/6</f>
        <v>0.27452546296296293</v>
      </c>
      <c r="U2" s="16">
        <f t="shared" si="0"/>
        <v>201.66666666666666</v>
      </c>
    </row>
    <row r="3" spans="1:21" ht="15.6">
      <c r="A3" s="3" t="s">
        <v>5</v>
      </c>
      <c r="B3" s="4">
        <v>17</v>
      </c>
      <c r="C3" s="4">
        <v>6</v>
      </c>
      <c r="D3" s="4">
        <v>2</v>
      </c>
      <c r="O3" s="11" t="s">
        <v>19</v>
      </c>
      <c r="P3" s="12">
        <v>1.6845601851851852</v>
      </c>
      <c r="Q3" s="13">
        <v>1502</v>
      </c>
      <c r="S3" s="11" t="s">
        <v>19</v>
      </c>
      <c r="T3" s="12">
        <f t="shared" si="0"/>
        <v>0.28076003086419754</v>
      </c>
      <c r="U3" s="16">
        <f t="shared" si="0"/>
        <v>250.33333333333334</v>
      </c>
    </row>
    <row r="4" spans="1:21" ht="15.6">
      <c r="A4" s="3" t="s">
        <v>6</v>
      </c>
      <c r="B4" s="4">
        <v>14</v>
      </c>
      <c r="C4" s="4">
        <v>6</v>
      </c>
      <c r="D4" s="4">
        <v>0</v>
      </c>
      <c r="O4" s="11" t="s">
        <v>5</v>
      </c>
      <c r="P4" s="12">
        <v>1.6832523148148149</v>
      </c>
      <c r="Q4" s="13">
        <v>686</v>
      </c>
      <c r="S4" s="11" t="s">
        <v>5</v>
      </c>
      <c r="T4" s="12">
        <f t="shared" si="0"/>
        <v>0.28054205246913583</v>
      </c>
      <c r="U4" s="16">
        <f t="shared" si="0"/>
        <v>114.33333333333333</v>
      </c>
    </row>
    <row r="5" spans="1:21" ht="15.6">
      <c r="A5" s="3" t="s">
        <v>7</v>
      </c>
      <c r="B5" s="4">
        <v>12</v>
      </c>
      <c r="C5" s="4">
        <v>9</v>
      </c>
      <c r="D5" s="4">
        <v>1</v>
      </c>
      <c r="O5" s="11" t="s">
        <v>8</v>
      </c>
      <c r="P5" s="12">
        <v>1.8105787037037038</v>
      </c>
      <c r="Q5" s="13">
        <v>725</v>
      </c>
      <c r="S5" s="11" t="s">
        <v>8</v>
      </c>
      <c r="T5" s="12">
        <f t="shared" si="0"/>
        <v>0.30176311728395061</v>
      </c>
      <c r="U5" s="16">
        <f t="shared" si="0"/>
        <v>120.83333333333333</v>
      </c>
    </row>
    <row r="6" spans="1:21" ht="15.6">
      <c r="A6" s="3" t="s">
        <v>8</v>
      </c>
      <c r="B6" s="4">
        <v>22</v>
      </c>
      <c r="C6" s="4">
        <v>3</v>
      </c>
      <c r="D6" s="4">
        <v>0</v>
      </c>
      <c r="O6" s="11" t="s">
        <v>7</v>
      </c>
      <c r="P6" s="12">
        <v>1.1697222222222223</v>
      </c>
      <c r="Q6" s="13">
        <v>582</v>
      </c>
      <c r="S6" s="11" t="s">
        <v>7</v>
      </c>
      <c r="T6" s="12">
        <f t="shared" si="0"/>
        <v>0.19495370370370371</v>
      </c>
      <c r="U6" s="16">
        <f t="shared" si="0"/>
        <v>97</v>
      </c>
    </row>
    <row r="7" spans="1:21" ht="15.6">
      <c r="A7" s="3" t="s">
        <v>9</v>
      </c>
      <c r="B7" s="4">
        <v>21</v>
      </c>
      <c r="C7" s="4">
        <v>1</v>
      </c>
      <c r="D7" s="4">
        <v>2</v>
      </c>
      <c r="O7" s="11" t="s">
        <v>20</v>
      </c>
      <c r="P7" s="14">
        <v>1.6303935185185185</v>
      </c>
      <c r="Q7" s="11">
        <v>1094</v>
      </c>
      <c r="S7" s="11" t="s">
        <v>20</v>
      </c>
      <c r="T7" s="12">
        <f t="shared" si="0"/>
        <v>0.27173225308641974</v>
      </c>
      <c r="U7" s="16">
        <f t="shared" si="0"/>
        <v>182.33333333333334</v>
      </c>
    </row>
    <row r="8" spans="1:21">
      <c r="B8">
        <f>SUM(B2:B7)</f>
        <v>103</v>
      </c>
      <c r="C8">
        <f t="shared" ref="C8:D8" si="1">SUM(C2:C7)</f>
        <v>31</v>
      </c>
      <c r="D8">
        <f t="shared" si="1"/>
        <v>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EE39-9950-4933-A165-1F63B39368C4}">
  <sheetPr codeName="Planilha3"/>
  <dimension ref="A1:V22"/>
  <sheetViews>
    <sheetView workbookViewId="0">
      <selection activeCell="F11" sqref="F11"/>
    </sheetView>
  </sheetViews>
  <sheetFormatPr defaultRowHeight="14.4"/>
  <cols>
    <col min="1" max="1" width="17.21875" bestFit="1" customWidth="1"/>
    <col min="2" max="2" width="14.33203125" bestFit="1" customWidth="1"/>
    <col min="3" max="3" width="9.109375" bestFit="1" customWidth="1"/>
    <col min="4" max="4" width="11" bestFit="1" customWidth="1"/>
    <col min="5" max="5" width="15" bestFit="1" customWidth="1"/>
    <col min="6" max="6" width="21.109375" bestFit="1" customWidth="1"/>
    <col min="7" max="7" width="16" bestFit="1" customWidth="1"/>
    <col min="8" max="8" width="19.109375" bestFit="1" customWidth="1"/>
    <col min="12" max="12" width="17.21875" bestFit="1" customWidth="1"/>
    <col min="13" max="13" width="26.6640625" bestFit="1" customWidth="1"/>
    <col min="21" max="21" width="17.21875" bestFit="1" customWidth="1"/>
    <col min="22" max="22" width="28.33203125" bestFit="1" customWidth="1"/>
  </cols>
  <sheetData>
    <row r="1" spans="1:22">
      <c r="A1" s="22" t="s">
        <v>24</v>
      </c>
      <c r="B1" s="22" t="s">
        <v>1</v>
      </c>
      <c r="C1" s="22" t="s">
        <v>2</v>
      </c>
      <c r="D1" s="22" t="s">
        <v>3</v>
      </c>
      <c r="E1" s="22" t="s">
        <v>17</v>
      </c>
      <c r="F1" s="22" t="s">
        <v>31</v>
      </c>
      <c r="G1" s="22" t="s">
        <v>22</v>
      </c>
      <c r="H1" s="22" t="s">
        <v>30</v>
      </c>
    </row>
    <row r="2" spans="1:22" ht="15.6">
      <c r="A2" s="17" t="s">
        <v>4</v>
      </c>
      <c r="B2" s="18">
        <v>17</v>
      </c>
      <c r="C2" s="18">
        <v>6</v>
      </c>
      <c r="D2" s="18">
        <v>0</v>
      </c>
      <c r="E2" s="19">
        <v>1.6471527777777777</v>
      </c>
      <c r="F2" s="20">
        <v>1210</v>
      </c>
      <c r="G2" s="19">
        <f>E2/6</f>
        <v>0.27452546296296293</v>
      </c>
      <c r="H2" s="21">
        <f>F2/6</f>
        <v>201.66666666666666</v>
      </c>
    </row>
    <row r="3" spans="1:22" ht="15.6">
      <c r="A3" s="3" t="s">
        <v>5</v>
      </c>
      <c r="B3" s="4">
        <v>17</v>
      </c>
      <c r="C3" s="4">
        <v>6</v>
      </c>
      <c r="D3" s="4">
        <v>2</v>
      </c>
      <c r="E3" s="12">
        <v>1.6845601851851852</v>
      </c>
      <c r="F3" s="13">
        <v>1502</v>
      </c>
      <c r="G3" s="12">
        <f t="shared" ref="G3:G7" si="0">E3/6</f>
        <v>0.28076003086419754</v>
      </c>
      <c r="H3" s="16">
        <f t="shared" ref="H3:H7" si="1">F3/6</f>
        <v>250.33333333333334</v>
      </c>
    </row>
    <row r="4" spans="1:22" ht="15.6">
      <c r="A4" s="3" t="s">
        <v>6</v>
      </c>
      <c r="B4" s="4">
        <v>14</v>
      </c>
      <c r="C4" s="4">
        <v>6</v>
      </c>
      <c r="D4" s="4">
        <v>0</v>
      </c>
      <c r="E4" s="12">
        <v>1.6832523148148149</v>
      </c>
      <c r="F4" s="13">
        <v>686</v>
      </c>
      <c r="G4" s="12">
        <f t="shared" si="0"/>
        <v>0.28054205246913583</v>
      </c>
      <c r="H4" s="16">
        <f t="shared" si="1"/>
        <v>114.33333333333333</v>
      </c>
    </row>
    <row r="5" spans="1:22" ht="15.6">
      <c r="A5" s="3" t="s">
        <v>7</v>
      </c>
      <c r="B5" s="4">
        <v>12</v>
      </c>
      <c r="C5" s="4">
        <v>9</v>
      </c>
      <c r="D5" s="4">
        <v>1</v>
      </c>
      <c r="E5" s="12">
        <v>1.8105787037037038</v>
      </c>
      <c r="F5" s="13">
        <v>725</v>
      </c>
      <c r="G5" s="12">
        <f t="shared" si="0"/>
        <v>0.30176311728395061</v>
      </c>
      <c r="H5" s="16">
        <f t="shared" si="1"/>
        <v>120.83333333333333</v>
      </c>
    </row>
    <row r="6" spans="1:22" ht="15.6">
      <c r="A6" s="3" t="s">
        <v>8</v>
      </c>
      <c r="B6" s="4">
        <v>22</v>
      </c>
      <c r="C6" s="4">
        <v>3</v>
      </c>
      <c r="D6" s="4">
        <v>0</v>
      </c>
      <c r="E6" s="12">
        <v>1.1697222222222223</v>
      </c>
      <c r="F6" s="13">
        <v>582</v>
      </c>
      <c r="G6" s="12">
        <f t="shared" si="0"/>
        <v>0.19495370370370371</v>
      </c>
      <c r="H6" s="16">
        <f t="shared" si="1"/>
        <v>97</v>
      </c>
    </row>
    <row r="7" spans="1:22" ht="15.6">
      <c r="A7" s="3" t="s">
        <v>9</v>
      </c>
      <c r="B7" s="4">
        <v>21</v>
      </c>
      <c r="C7" s="4">
        <v>1</v>
      </c>
      <c r="D7" s="4">
        <v>2</v>
      </c>
      <c r="E7" s="14">
        <v>1.6303935185185185</v>
      </c>
      <c r="F7" s="11">
        <v>1094</v>
      </c>
      <c r="G7" s="12">
        <f t="shared" si="0"/>
        <v>0.27173225308641974</v>
      </c>
      <c r="H7" s="16">
        <f t="shared" si="1"/>
        <v>182.33333333333334</v>
      </c>
    </row>
    <row r="15" spans="1:22">
      <c r="A15" s="23" t="s">
        <v>25</v>
      </c>
      <c r="B15" t="s">
        <v>27</v>
      </c>
      <c r="C15" t="s">
        <v>28</v>
      </c>
      <c r="D15" t="s">
        <v>29</v>
      </c>
      <c r="L15" s="23" t="s">
        <v>25</v>
      </c>
      <c r="M15" t="s">
        <v>32</v>
      </c>
      <c r="U15" s="23" t="s">
        <v>25</v>
      </c>
      <c r="V15" t="s">
        <v>33</v>
      </c>
    </row>
    <row r="16" spans="1:22">
      <c r="A16" s="24" t="s">
        <v>6</v>
      </c>
      <c r="B16" s="26">
        <v>14</v>
      </c>
      <c r="C16" s="26">
        <v>6</v>
      </c>
      <c r="D16" s="26">
        <v>0</v>
      </c>
      <c r="L16" s="24" t="s">
        <v>5</v>
      </c>
      <c r="M16" s="25">
        <v>250.33333333333334</v>
      </c>
      <c r="U16" s="24" t="s">
        <v>5</v>
      </c>
      <c r="V16" s="26">
        <v>1502</v>
      </c>
    </row>
    <row r="17" spans="1:22">
      <c r="A17" s="24" t="s">
        <v>4</v>
      </c>
      <c r="B17" s="26">
        <v>17</v>
      </c>
      <c r="C17" s="26">
        <v>6</v>
      </c>
      <c r="D17" s="26">
        <v>0</v>
      </c>
      <c r="L17" s="24" t="s">
        <v>4</v>
      </c>
      <c r="M17" s="25">
        <v>201.66666666666666</v>
      </c>
      <c r="U17" s="24" t="s">
        <v>4</v>
      </c>
      <c r="V17" s="26">
        <v>1210</v>
      </c>
    </row>
    <row r="18" spans="1:22">
      <c r="A18" s="24" t="s">
        <v>9</v>
      </c>
      <c r="B18" s="26">
        <v>21</v>
      </c>
      <c r="C18" s="26">
        <v>1</v>
      </c>
      <c r="D18" s="26">
        <v>2</v>
      </c>
      <c r="L18" s="24" t="s">
        <v>9</v>
      </c>
      <c r="M18" s="25">
        <v>182.33333333333334</v>
      </c>
      <c r="U18" s="24" t="s">
        <v>9</v>
      </c>
      <c r="V18" s="26">
        <v>1094</v>
      </c>
    </row>
    <row r="19" spans="1:22">
      <c r="A19" s="24" t="s">
        <v>7</v>
      </c>
      <c r="B19" s="26">
        <v>12</v>
      </c>
      <c r="C19" s="26">
        <v>9</v>
      </c>
      <c r="D19" s="26">
        <v>1</v>
      </c>
      <c r="L19" s="24" t="s">
        <v>7</v>
      </c>
      <c r="M19" s="25">
        <v>120.83333333333333</v>
      </c>
      <c r="U19" s="24" t="s">
        <v>7</v>
      </c>
      <c r="V19" s="26">
        <v>725</v>
      </c>
    </row>
    <row r="20" spans="1:22">
      <c r="A20" s="24" t="s">
        <v>8</v>
      </c>
      <c r="B20" s="26">
        <v>22</v>
      </c>
      <c r="C20" s="26">
        <v>3</v>
      </c>
      <c r="D20" s="26">
        <v>0</v>
      </c>
      <c r="L20" s="24" t="s">
        <v>6</v>
      </c>
      <c r="M20" s="25">
        <v>114.33333333333333</v>
      </c>
      <c r="U20" s="24" t="s">
        <v>6</v>
      </c>
      <c r="V20" s="26">
        <v>686</v>
      </c>
    </row>
    <row r="21" spans="1:22">
      <c r="A21" s="24" t="s">
        <v>5</v>
      </c>
      <c r="B21" s="26">
        <v>17</v>
      </c>
      <c r="C21" s="26">
        <v>6</v>
      </c>
      <c r="D21" s="26">
        <v>2</v>
      </c>
      <c r="L21" s="24" t="s">
        <v>8</v>
      </c>
      <c r="M21" s="25">
        <v>97</v>
      </c>
      <c r="U21" s="24" t="s">
        <v>8</v>
      </c>
      <c r="V21" s="26">
        <v>582</v>
      </c>
    </row>
    <row r="22" spans="1:22">
      <c r="A22" s="24" t="s">
        <v>26</v>
      </c>
      <c r="B22" s="26">
        <v>103</v>
      </c>
      <c r="C22" s="26">
        <v>31</v>
      </c>
      <c r="D22" s="26">
        <v>5</v>
      </c>
      <c r="L22" s="24" t="s">
        <v>26</v>
      </c>
      <c r="M22" s="25">
        <v>966.50000000000011</v>
      </c>
      <c r="U22" s="24" t="s">
        <v>26</v>
      </c>
      <c r="V22" s="26">
        <v>5799</v>
      </c>
    </row>
  </sheetData>
  <pageMargins left="0.511811024" right="0.511811024" top="0.78740157499999996" bottom="0.78740157499999996" header="0.31496062000000002" footer="0.31496062000000002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Sousa</dc:creator>
  <cp:lastModifiedBy>Henrique Sousa</cp:lastModifiedBy>
  <dcterms:created xsi:type="dcterms:W3CDTF">2025-12-18T02:04:43Z</dcterms:created>
  <dcterms:modified xsi:type="dcterms:W3CDTF">2025-12-18T15:03:38Z</dcterms:modified>
</cp:coreProperties>
</file>